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flori\WBS Coding School\Final Project\assets\"/>
    </mc:Choice>
  </mc:AlternateContent>
  <xr:revisionPtr revIDLastSave="0" documentId="13_ncr:1_{7D2FC663-3E96-470F-A885-430620BFF377}"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Sheet1" sheetId="13" r:id="rId2"/>
  </sheets>
  <definedNames>
    <definedName name="Display_Week">'Project schedule'!$R$2</definedName>
    <definedName name="_xlnm.Print_Titles" localSheetId="0">'Project schedule'!$4:$6</definedName>
    <definedName name="Project_Start">'Project schedule'!$R$1</definedName>
    <definedName name="task_end" localSheetId="0">'Project schedule'!$G1</definedName>
    <definedName name="task_progress" localSheetId="0">'Project schedule'!$D1</definedName>
    <definedName name="task_start" localSheetId="0">'Project schedule'!$F1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11" l="1"/>
  <c r="J4" i="11"/>
  <c r="Q4" i="11" s="1"/>
  <c r="X4" i="11" s="1"/>
  <c r="AE4" i="11" s="1"/>
  <c r="AL4" i="11" s="1"/>
  <c r="AS4" i="11" s="1"/>
  <c r="AZ4" i="11" s="1"/>
  <c r="BG4" i="11" s="1"/>
  <c r="F4" i="11"/>
  <c r="D44" i="11"/>
  <c r="D35" i="11" s="1"/>
  <c r="D26" i="11"/>
  <c r="F9" i="11"/>
  <c r="G9" i="11" s="1"/>
  <c r="F10" i="11" s="1"/>
  <c r="D17" i="11"/>
  <c r="D8" i="11"/>
  <c r="I7" i="11"/>
  <c r="G10" i="11" l="1"/>
  <c r="F11" i="11"/>
  <c r="G11" i="11" s="1"/>
  <c r="F12" i="11" l="1"/>
  <c r="G12" i="11" s="1"/>
  <c r="J5" i="11"/>
  <c r="I53" i="11"/>
  <c r="F13" i="11" l="1"/>
  <c r="G13" i="11" s="1"/>
  <c r="J6" i="11"/>
  <c r="F14" i="11" l="1"/>
  <c r="I54" i="11"/>
  <c r="I12" i="11"/>
  <c r="K5" i="11"/>
  <c r="L5" i="11" s="1"/>
  <c r="M5" i="11" s="1"/>
  <c r="N5" i="11" s="1"/>
  <c r="O5" i="11" s="1"/>
  <c r="P5" i="11" s="1"/>
  <c r="Q5" i="11" s="1"/>
  <c r="G14" i="11" l="1"/>
  <c r="I14" i="11" s="1"/>
  <c r="F15" i="11"/>
  <c r="G15" i="11" s="1"/>
  <c r="G8" i="11" s="1"/>
  <c r="I13" i="11"/>
  <c r="R5" i="11"/>
  <c r="S5" i="11" s="1"/>
  <c r="T5" i="11" s="1"/>
  <c r="U5" i="11" s="1"/>
  <c r="V5" i="11" s="1"/>
  <c r="W5" i="11" s="1"/>
  <c r="X5" i="11" s="1"/>
  <c r="K6" i="11"/>
  <c r="Y5" i="11" l="1"/>
  <c r="Z5" i="11" s="1"/>
  <c r="AA5" i="11" s="1"/>
  <c r="AB5" i="11" s="1"/>
  <c r="AC5" i="11" s="1"/>
  <c r="AD5" i="11" s="1"/>
  <c r="AE5" i="11" s="1"/>
  <c r="L6" i="11"/>
  <c r="F17" i="11" l="1"/>
  <c r="F18" i="11" s="1"/>
  <c r="G18" i="11" s="1"/>
  <c r="I8" i="11"/>
  <c r="E8" i="11"/>
  <c r="AF5" i="11"/>
  <c r="AG5" i="11" s="1"/>
  <c r="AH5" i="11" s="1"/>
  <c r="AI5" i="11" s="1"/>
  <c r="AJ5" i="11" s="1"/>
  <c r="AK5" i="11" s="1"/>
  <c r="M6" i="11"/>
  <c r="F19" i="11" l="1"/>
  <c r="F20" i="11" s="1"/>
  <c r="F21" i="11" s="1"/>
  <c r="G20" i="11"/>
  <c r="G19" i="11"/>
  <c r="G21" i="11"/>
  <c r="F22" i="11"/>
  <c r="AL5" i="11"/>
  <c r="N6" i="11"/>
  <c r="AM5" i="11" l="1"/>
  <c r="AN5" i="11" s="1"/>
  <c r="AO5" i="11" s="1"/>
  <c r="AP5" i="11" s="1"/>
  <c r="AQ5" i="11" s="1"/>
  <c r="AR5" i="11" s="1"/>
  <c r="AS5" i="11" s="1"/>
  <c r="G22" i="11"/>
  <c r="F23" i="11"/>
  <c r="O6" i="11"/>
  <c r="AT5" i="11" l="1"/>
  <c r="AU5" i="11" s="1"/>
  <c r="F24" i="11"/>
  <c r="G24" i="11" s="1"/>
  <c r="G23" i="11"/>
  <c r="G17" i="11" s="1"/>
  <c r="P6" i="11"/>
  <c r="AT6" i="11" l="1"/>
  <c r="F26" i="11"/>
  <c r="F27" i="11" s="1"/>
  <c r="G27" i="11" s="1"/>
  <c r="AV5" i="11"/>
  <c r="AU6" i="11"/>
  <c r="F28" i="11" l="1"/>
  <c r="G28" i="11"/>
  <c r="F29" i="11"/>
  <c r="E17" i="11"/>
  <c r="I17" i="11"/>
  <c r="AW5" i="11"/>
  <c r="AV6" i="11"/>
  <c r="Q6" i="11"/>
  <c r="R6" i="11"/>
  <c r="G29" i="11" l="1"/>
  <c r="F30" i="11"/>
  <c r="AX5" i="11"/>
  <c r="AW6" i="11"/>
  <c r="S6" i="11"/>
  <c r="G30" i="11" l="1"/>
  <c r="F31" i="11"/>
  <c r="I21" i="11"/>
  <c r="AY5" i="11"/>
  <c r="AZ5" i="11" s="1"/>
  <c r="AX6" i="11"/>
  <c r="T6" i="11"/>
  <c r="G31" i="11" l="1"/>
  <c r="F32" i="11"/>
  <c r="G32" i="11" s="1"/>
  <c r="AZ6" i="11"/>
  <c r="BA5" i="11"/>
  <c r="AY6" i="11"/>
  <c r="U6" i="11"/>
  <c r="F33" i="11" l="1"/>
  <c r="I22" i="11"/>
  <c r="BB5" i="11"/>
  <c r="BA6" i="11"/>
  <c r="V6" i="11"/>
  <c r="G33" i="11" l="1"/>
  <c r="G26" i="11" s="1"/>
  <c r="F35" i="11" s="1"/>
  <c r="BB6" i="11"/>
  <c r="BC5" i="11"/>
  <c r="W6" i="11"/>
  <c r="I24" i="11" l="1"/>
  <c r="I23" i="11"/>
  <c r="BC6" i="11"/>
  <c r="BD5" i="11"/>
  <c r="X6" i="11"/>
  <c r="E26" i="11" l="1"/>
  <c r="F36" i="11"/>
  <c r="G36" i="11" s="1"/>
  <c r="BD6" i="11"/>
  <c r="BE5" i="11"/>
  <c r="Y6" i="11"/>
  <c r="F37" i="11" l="1"/>
  <c r="G37" i="11" s="1"/>
  <c r="I26" i="11"/>
  <c r="BF5" i="11"/>
  <c r="BE6" i="11"/>
  <c r="Z6" i="11"/>
  <c r="F38" i="11" l="1"/>
  <c r="F39" i="11"/>
  <c r="G38" i="11"/>
  <c r="BF6" i="11"/>
  <c r="BG5" i="11"/>
  <c r="AA6" i="11"/>
  <c r="F40" i="11" l="1"/>
  <c r="G40" i="11" s="1"/>
  <c r="G39" i="11"/>
  <c r="BG6" i="11"/>
  <c r="BH5" i="11"/>
  <c r="AB6" i="11"/>
  <c r="G35" i="11" l="1"/>
  <c r="BH6" i="11"/>
  <c r="BI5" i="11"/>
  <c r="AC6" i="11"/>
  <c r="BJ5" i="11" l="1"/>
  <c r="BI6" i="11"/>
  <c r="AD6" i="11"/>
  <c r="BK5" i="11" l="1"/>
  <c r="BJ6" i="11"/>
  <c r="AE6" i="11"/>
  <c r="BL5" i="11" l="1"/>
  <c r="BK6" i="11"/>
  <c r="AF6" i="11"/>
  <c r="I30" i="11" l="1"/>
  <c r="BM5" i="11"/>
  <c r="BL6" i="11"/>
  <c r="AG6" i="11"/>
  <c r="BM6" i="11" l="1"/>
  <c r="AH6" i="11"/>
  <c r="AI6" i="11" l="1"/>
  <c r="I31" i="11" l="1"/>
  <c r="I32" i="11"/>
  <c r="AJ6" i="11"/>
  <c r="AK6" i="11" l="1"/>
  <c r="AL6" i="11" l="1"/>
  <c r="AM6" i="11" l="1"/>
  <c r="AN6" i="11" l="1"/>
  <c r="AO6" i="11" l="1"/>
  <c r="AP6" i="11" l="1"/>
  <c r="AQ6" i="11" l="1"/>
  <c r="AR6" i="11" l="1"/>
  <c r="AS6" i="11" l="1"/>
  <c r="I39" i="11" l="1"/>
  <c r="I35" i="11" l="1"/>
  <c r="E35" i="11"/>
  <c r="F44" i="11"/>
  <c r="F45" i="11" s="1"/>
  <c r="G45" i="11" s="1"/>
  <c r="F46" i="11" l="1"/>
  <c r="F47" i="11" l="1"/>
  <c r="G46" i="11"/>
  <c r="G47" i="11" l="1"/>
  <c r="E44" i="11" l="1"/>
</calcChain>
</file>

<file path=xl/sharedStrings.xml><?xml version="1.0" encoding="utf-8"?>
<sst xmlns="http://schemas.openxmlformats.org/spreadsheetml/2006/main" count="306" uniqueCount="164">
  <si>
    <t>Insert new rows ABOVE this one</t>
  </si>
  <si>
    <t>PROGRESS</t>
  </si>
  <si>
    <t>START</t>
  </si>
  <si>
    <t>END</t>
  </si>
  <si>
    <t>TASK</t>
  </si>
  <si>
    <t xml:space="preserve">Do not delete this row. This row is hidden to preserve a formula that is used to highlight the current day within the project schedule. </t>
  </si>
  <si>
    <t>Project start:</t>
  </si>
  <si>
    <t>Display week:</t>
  </si>
  <si>
    <t>Task</t>
  </si>
  <si>
    <t>Start</t>
  </si>
  <si>
    <t>End</t>
  </si>
  <si>
    <t>Duration</t>
  </si>
  <si>
    <t>Status</t>
  </si>
  <si>
    <t>Milestone</t>
  </si>
  <si>
    <t>1. Data &amp; Problem Definition</t>
  </si>
  <si>
    <t>Not Started</t>
  </si>
  <si>
    <t>M1 – Data Ready</t>
  </si>
  <si>
    <t>2. EDA &amp; Feature Engineering</t>
  </si>
  <si>
    <t>M2 – First Model</t>
  </si>
  <si>
    <t>3. ML Development</t>
  </si>
  <si>
    <t>M3 – Model Freeze</t>
  </si>
  <si>
    <t>4. Explainability &amp; Validation</t>
  </si>
  <si>
    <t>M4 – Analysis Freeze</t>
  </si>
  <si>
    <t>5. Finalization</t>
  </si>
  <si>
    <t>M5 – Project Freeze</t>
  </si>
  <si>
    <t>6. Final Presentation</t>
  </si>
  <si>
    <t>FINAL</t>
  </si>
  <si>
    <t>Date</t>
  </si>
  <si>
    <t>Main Task</t>
  </si>
  <si>
    <t>Deliverable / Goal</t>
  </si>
  <si>
    <t>Project setup &amp; dataset download</t>
  </si>
  <si>
    <t>Data available, project structure</t>
  </si>
  <si>
    <t>Dataset documentation &amp; structure</t>
  </si>
  <si>
    <t>Understand files, experiments, variables</t>
  </si>
  <si>
    <t>Sensors &amp; actuators analysis</t>
  </si>
  <si>
    <t>Variable overview</t>
  </si>
  <si>
    <t>Anomaly labels &amp; metadata</t>
  </si>
  <si>
    <t>Understand target/fault structure</t>
  </si>
  <si>
    <t>Data quality analysis</t>
  </si>
  <si>
    <t>Missing values, duplicates, outliers</t>
  </si>
  <si>
    <t>Define ML problem &amp; evaluation strategy</t>
  </si>
  <si>
    <t>Target + train/test strategy</t>
  </si>
  <si>
    <t>Data preparation</t>
  </si>
  <si>
    <t>Sensor EDA</t>
  </si>
  <si>
    <t>Distributions &amp; patterns</t>
  </si>
  <si>
    <t>Normal vs. anomaly analysis</t>
  </si>
  <si>
    <t>Comparative analysis</t>
  </si>
  <si>
    <t>Time-series analysis</t>
  </si>
  <si>
    <t>Temporal patterns</t>
  </si>
  <si>
    <t>Correlation &amp; feature analysis</t>
  </si>
  <si>
    <t>Feature relationships</t>
  </si>
  <si>
    <t>Preprocessing pipeline</t>
  </si>
  <si>
    <t>Clean data pipeline</t>
  </si>
  <si>
    <t>Feature engineering</t>
  </si>
  <si>
    <t>ML features</t>
  </si>
  <si>
    <t>Baseline model</t>
  </si>
  <si>
    <t>Baseline model comparison</t>
  </si>
  <si>
    <t>Initial benchmark</t>
  </si>
  <si>
    <t>Random Forest / tree models</t>
  </si>
  <si>
    <t>Advanced baseline</t>
  </si>
  <si>
    <t>Gradient Boosting / XGBoost</t>
  </si>
  <si>
    <t>Candidate model</t>
  </si>
  <si>
    <t>Cross-validation &amp; imbalance</t>
  </si>
  <si>
    <t>Reliable evaluation</t>
  </si>
  <si>
    <t>Hyperparameter tuning</t>
  </si>
  <si>
    <t>Optimized candidates</t>
  </si>
  <si>
    <t>Error analysis</t>
  </si>
  <si>
    <t>Understand failures</t>
  </si>
  <si>
    <t>Final model selection</t>
  </si>
  <si>
    <t>SHAP implementation</t>
  </si>
  <si>
    <t>Explainability pipeline</t>
  </si>
  <si>
    <t>Global feature importance</t>
  </si>
  <si>
    <t>Main drivers identified</t>
  </si>
  <si>
    <t>Local explanations</t>
  </si>
  <si>
    <t>Individual predictions</t>
  </si>
  <si>
    <t>Fault/engineering interpretation</t>
  </si>
  <si>
    <t>Compare ML vs. known faults</t>
  </si>
  <si>
    <t>Final validation &amp; visualizations</t>
  </si>
  <si>
    <t>Code + documentation + README</t>
  </si>
  <si>
    <t>Project finalized</t>
  </si>
  <si>
    <t>Presentation + rehearsal</t>
  </si>
  <si>
    <t>Final presentation</t>
  </si>
  <si>
    <t>1. Data &amp; Problem Definition — 20–26 Aug</t>
  </si>
  <si>
    <t>ID</t>
  </si>
  <si>
    <t>Est.</t>
  </si>
  <si>
    <t>Download / organize dataset</t>
  </si>
  <si>
    <t>2 h</t>
  </si>
  <si>
    <t>Understand dataset structure &amp; documentation</t>
  </si>
  <si>
    <t>3 h</t>
  </si>
  <si>
    <t>Inspect experiments, sensors &amp; actuators</t>
  </si>
  <si>
    <t>4 h</t>
  </si>
  <si>
    <t>Inspect anomaly labels &amp; metadata</t>
  </si>
  <si>
    <t>Define ML target(s)</t>
  </si>
  <si>
    <t>Analyze class distribution</t>
  </si>
  <si>
    <t>Define train/test strategy</t>
  </si>
  <si>
    <t>Initial data-quality assessment</t>
  </si>
  <si>
    <t>Document assumptions &amp; project scope</t>
  </si>
  <si>
    <t>M1</t>
  </si>
  <si>
    <t>Data Ready</t>
  </si>
  <si>
    <t>~25 h</t>
  </si>
  <si>
    <t>2. EDA &amp; Feature Engineering — 27 Aug–2 Sep</t>
  </si>
  <si>
    <t>Explore sensor distributions</t>
  </si>
  <si>
    <t>Explore actuator distributions</t>
  </si>
  <si>
    <t>Visualize normal vs. anomalous experiments</t>
  </si>
  <si>
    <t>Analyze missing values / outliers</t>
  </si>
  <si>
    <t>Analyze temporal behavior</t>
  </si>
  <si>
    <t>Investigate sensor correlations</t>
  </si>
  <si>
    <t>Define preprocessing pipeline</t>
  </si>
  <si>
    <t>Design feature-engineering strategy</t>
  </si>
  <si>
    <t>Implement feature extraction</t>
  </si>
  <si>
    <t>5 h</t>
  </si>
  <si>
    <t>Build final ML dataset</t>
  </si>
  <si>
    <t>Train first baseline model</t>
  </si>
  <si>
    <t>M2</t>
  </si>
  <si>
    <t>First Model</t>
  </si>
  <si>
    <t>~35 h</t>
  </si>
  <si>
    <t>3. ML Development — 3–9 Sep</t>
  </si>
  <si>
    <t>Establish baseline metrics</t>
  </si>
  <si>
    <t>Train baseline models</t>
  </si>
  <si>
    <t>Train tree-based models</t>
  </si>
  <si>
    <t>Cross-validation</t>
  </si>
  <si>
    <t>Compare model performance</t>
  </si>
  <si>
    <t>Handle class imbalance if required</t>
  </si>
  <si>
    <t>Investigate fault-category classification</t>
  </si>
  <si>
    <t>M3</t>
  </si>
  <si>
    <t>Model Freeze</t>
  </si>
  <si>
    <t>~36 h</t>
  </si>
  <si>
    <t>4. Explainability &amp; Validation — 10–14 Sep</t>
  </si>
  <si>
    <t>Set up SHAP / explainability</t>
  </si>
  <si>
    <t>Local prediction explanations</t>
  </si>
  <si>
    <t>Feature importance stability</t>
  </si>
  <si>
    <t>Compare explanations with known faults</t>
  </si>
  <si>
    <t>Process-engineering interpretation</t>
  </si>
  <si>
    <t>Robustness / sensitivity checks</t>
  </si>
  <si>
    <t>Final results &amp; visualizations</t>
  </si>
  <si>
    <t>Document limitations</t>
  </si>
  <si>
    <t>M4</t>
  </si>
  <si>
    <t>Analysis Freeze</t>
  </si>
  <si>
    <t>~30 h</t>
  </si>
  <si>
    <t>5. Finalization — 15–16 Sep</t>
  </si>
  <si>
    <t>Clean &amp; organize code</t>
  </si>
  <si>
    <t>Finalize notebooks / pipeline</t>
  </si>
  <si>
    <t>Final README / documentation</t>
  </si>
  <si>
    <t>Final figures &amp; tables</t>
  </si>
  <si>
    <t>Write conclusions</t>
  </si>
  <si>
    <t>Prepare presentation</t>
  </si>
  <si>
    <t>Presentation rehearsal</t>
  </si>
  <si>
    <t>M5</t>
  </si>
  <si>
    <t>Project Freeze</t>
  </si>
  <si>
    <t>~21 h</t>
  </si>
  <si>
    <t>6. Presentation — 17 Sep</t>
  </si>
  <si>
    <t>Final technical check</t>
  </si>
  <si>
    <t>1 h</t>
  </si>
  <si>
    <t>Final presentation rehearsal</t>
  </si>
  <si>
    <t>Final Presentation</t>
  </si>
  <si>
    <t>—</t>
  </si>
  <si>
    <t>Final project</t>
  </si>
  <si>
    <t>WBS Coding School</t>
  </si>
  <si>
    <t>Dr. Florian Hastreiter</t>
  </si>
  <si>
    <t>Explainable Machine Learning for Anomaly Detection and Fault Diagnosis in Batch Distillation</t>
  </si>
  <si>
    <t>Due Date:</t>
  </si>
  <si>
    <t>DELIVERABLE</t>
  </si>
  <si>
    <t>Days Left:</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</si>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</sst>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d"/>
    <numFmt numFmtId="168" formatCode="ddd\,\ dd/mm/yyyy"/>
    <numFmt numFmtId="169" formatCode="\C\W00"/>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0"/>
      <name val="Arial"/>
      <family val="2"/>
      <scheme val="minor"/>
    </font>
    <font>
      <sz val="11"/>
      <color theme="0"/>
      <name val="Arial"/>
      <family val="2"/>
      <scheme val="minor"/>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11"/>
      <color theme="1"/>
      <name val="Arial"/>
      <family val="2"/>
      <scheme val="minor"/>
    </font>
    <font>
      <b/>
      <sz val="28"/>
      <color theme="9"/>
      <name val="Arial Black"/>
      <family val="2"/>
      <scheme val="major"/>
    </font>
    <font>
      <b/>
      <sz val="10"/>
      <color rgb="FFC00000"/>
      <name val="Arial"/>
      <family val="2"/>
      <scheme val="minor"/>
    </font>
    <font>
      <sz val="10"/>
      <color rgb="FFC00000"/>
      <name val="Arial"/>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s>
  <borders count="25">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
      <left/>
      <right style="thin">
        <color theme="0" tint="-0.14993743705557422"/>
      </right>
      <top/>
      <bottom/>
      <diagonal/>
    </border>
    <border>
      <left/>
      <right style="thin">
        <color theme="0" tint="-4.9989318521683403E-2"/>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0"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6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0" fillId="0" borderId="0" xfId="3"/>
    <xf numFmtId="0" fontId="10" fillId="0" borderId="0" xfId="3" applyAlignment="1">
      <alignment wrapText="1"/>
    </xf>
    <xf numFmtId="0" fontId="10"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1" fillId="0" borderId="0" xfId="1" applyFont="1" applyAlignment="1" applyProtection="1">
      <alignment horizontal="left" vertical="top" indent="1"/>
    </xf>
    <xf numFmtId="167" fontId="17" fillId="12" borderId="19" xfId="0" applyNumberFormat="1" applyFont="1" applyFill="1" applyBorder="1" applyAlignment="1">
      <alignment horizontal="center" vertical="center"/>
    </xf>
    <xf numFmtId="167" fontId="17" fillId="12" borderId="17"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0" fontId="18" fillId="2" borderId="16" xfId="0" applyFont="1" applyFill="1" applyBorder="1" applyAlignment="1">
      <alignment horizontal="center" vertical="center" shrinkToFit="1"/>
    </xf>
    <xf numFmtId="0" fontId="18" fillId="2" borderId="13"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4" fillId="0" borderId="11"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4" borderId="5" xfId="12" applyFont="1" applyFill="1" applyBorder="1">
      <alignment horizontal="left" vertical="center" indent="2"/>
    </xf>
    <xf numFmtId="9" fontId="1" fillId="4" borderId="5" xfId="2" applyFont="1" applyFill="1" applyBorder="1" applyAlignment="1">
      <alignment horizontal="center" vertical="center"/>
    </xf>
    <xf numFmtId="0" fontId="19" fillId="8" borderId="0" xfId="0" applyFont="1" applyFill="1" applyAlignment="1">
      <alignment horizontal="left" vertical="center" indent="1"/>
    </xf>
    <xf numFmtId="0" fontId="15" fillId="5" borderId="8" xfId="12" applyFont="1" applyFill="1" applyBorder="1">
      <alignment horizontal="left" vertical="center" indent="2"/>
    </xf>
    <xf numFmtId="9" fontId="1" fillId="5" borderId="8" xfId="2" applyFont="1" applyFill="1" applyBorder="1" applyAlignment="1">
      <alignment horizontal="center" vertical="center"/>
    </xf>
    <xf numFmtId="0" fontId="19" fillId="9" borderId="0" xfId="0" applyFont="1" applyFill="1" applyAlignment="1">
      <alignment horizontal="left" vertical="center" indent="1"/>
    </xf>
    <xf numFmtId="0" fontId="4" fillId="0" borderId="10" xfId="0" applyFont="1" applyBorder="1" applyAlignment="1">
      <alignment vertical="center"/>
    </xf>
    <xf numFmtId="0" fontId="15" fillId="10" borderId="9" xfId="12" applyFont="1" applyFill="1" applyBorder="1">
      <alignment horizontal="left" vertical="center" indent="2"/>
    </xf>
    <xf numFmtId="9" fontId="1" fillId="10" borderId="9" xfId="2" applyFont="1" applyFill="1" applyBorder="1" applyAlignment="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5" fontId="21"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7" applyFont="1" applyAlignment="1">
      <alignment horizontal="left" vertical="center" indent="1"/>
    </xf>
    <xf numFmtId="14" fontId="0" fillId="0" borderId="0" xfId="0" applyNumberFormat="1"/>
    <xf numFmtId="0" fontId="15" fillId="10" borderId="0" xfId="12" applyFont="1" applyFill="1" applyBorder="1">
      <alignment horizontal="left" vertical="center" indent="2"/>
    </xf>
    <xf numFmtId="0" fontId="15" fillId="10" borderId="0" xfId="11" applyFont="1" applyFill="1" applyBorder="1" applyAlignment="1">
      <alignment vertical="center"/>
    </xf>
    <xf numFmtId="9" fontId="1" fillId="10" borderId="0" xfId="2" applyFont="1" applyFill="1" applyBorder="1" applyAlignment="1">
      <alignment horizontal="center" vertical="center"/>
    </xf>
    <xf numFmtId="0" fontId="19" fillId="13" borderId="0" xfId="0" applyFont="1" applyFill="1" applyAlignment="1">
      <alignment horizontal="left" vertical="center" indent="1"/>
    </xf>
    <xf numFmtId="0" fontId="15" fillId="14" borderId="9" xfId="12" applyFont="1" applyFill="1" applyBorder="1">
      <alignment horizontal="left" vertical="center" indent="2"/>
    </xf>
    <xf numFmtId="0" fontId="15" fillId="14" borderId="9" xfId="11" applyFont="1" applyFill="1" applyBorder="1" applyAlignment="1">
      <alignment vertical="center"/>
    </xf>
    <xf numFmtId="9" fontId="1" fillId="14" borderId="9" xfId="2" applyFont="1" applyFill="1" applyBorder="1" applyAlignment="1">
      <alignment horizontal="center" vertical="center"/>
    </xf>
    <xf numFmtId="0" fontId="25" fillId="0" borderId="0" xfId="0" applyFont="1" applyAlignment="1">
      <alignment horizontal="center" vertical="center" wrapText="1"/>
    </xf>
    <xf numFmtId="0" fontId="0" fillId="0" borderId="0" xfId="0" applyAlignment="1">
      <alignment vertical="center" wrapText="1"/>
    </xf>
    <xf numFmtId="0" fontId="25" fillId="0" borderId="0" xfId="0" applyFont="1" applyAlignment="1">
      <alignment vertical="center" wrapText="1"/>
    </xf>
    <xf numFmtId="0" fontId="15" fillId="0" borderId="0" xfId="0" applyFont="1" applyAlignment="1">
      <alignment vertical="center"/>
    </xf>
    <xf numFmtId="0" fontId="15" fillId="0" borderId="0" xfId="0" applyFont="1" applyAlignment="1">
      <alignment horizontal="center" vertical="center" wrapText="1"/>
    </xf>
    <xf numFmtId="0" fontId="15" fillId="0" borderId="0" xfId="0" applyFont="1" applyAlignment="1">
      <alignment vertical="center" wrapText="1"/>
    </xf>
    <xf numFmtId="15" fontId="0" fillId="0" borderId="0" xfId="0" applyNumberFormat="1"/>
    <xf numFmtId="14" fontId="15" fillId="3" borderId="6" xfId="10" applyNumberFormat="1" applyFont="1" applyFill="1" applyBorder="1">
      <alignment horizontal="center" vertical="center"/>
    </xf>
    <xf numFmtId="14" fontId="15" fillId="3" borderId="7" xfId="10" applyNumberFormat="1" applyFont="1" applyFill="1" applyBorder="1">
      <alignment horizontal="center" vertical="center"/>
    </xf>
    <xf numFmtId="14" fontId="15" fillId="4" borderId="5" xfId="10" applyNumberFormat="1" applyFont="1" applyFill="1" applyBorder="1">
      <alignment horizontal="center" vertical="center"/>
    </xf>
    <xf numFmtId="14" fontId="15" fillId="5" borderId="8" xfId="10" applyNumberFormat="1" applyFont="1" applyFill="1" applyBorder="1">
      <alignment horizontal="center" vertical="center"/>
    </xf>
    <xf numFmtId="14" fontId="15" fillId="10" borderId="9" xfId="10" applyNumberFormat="1" applyFont="1" applyFill="1" applyBorder="1">
      <alignment horizontal="center" vertical="center"/>
    </xf>
    <xf numFmtId="14" fontId="15" fillId="14" borderId="9" xfId="10" applyNumberFormat="1" applyFont="1" applyFill="1" applyBorder="1">
      <alignment horizontal="center" vertical="center"/>
    </xf>
    <xf numFmtId="1" fontId="16" fillId="11" borderId="15" xfId="0" applyNumberFormat="1" applyFont="1" applyFill="1" applyBorder="1" applyAlignment="1">
      <alignment vertical="center"/>
    </xf>
    <xf numFmtId="1" fontId="1" fillId="3" borderId="6" xfId="2" applyNumberFormat="1" applyFont="1" applyFill="1" applyBorder="1" applyAlignment="1">
      <alignment horizontal="center" vertical="center"/>
    </xf>
    <xf numFmtId="1" fontId="1" fillId="3" borderId="7" xfId="2" applyNumberFormat="1" applyFont="1" applyFill="1" applyBorder="1" applyAlignment="1">
      <alignment horizontal="center" vertical="center"/>
    </xf>
    <xf numFmtId="1" fontId="1" fillId="4" borderId="5" xfId="2" applyNumberFormat="1" applyFont="1" applyFill="1" applyBorder="1" applyAlignment="1">
      <alignment horizontal="center" vertical="center"/>
    </xf>
    <xf numFmtId="1" fontId="1" fillId="5" borderId="8" xfId="2" applyNumberFormat="1" applyFont="1" applyFill="1" applyBorder="1" applyAlignment="1">
      <alignment horizontal="center" vertical="center"/>
    </xf>
    <xf numFmtId="1" fontId="1" fillId="10" borderId="9" xfId="2" applyNumberFormat="1" applyFont="1" applyFill="1" applyBorder="1" applyAlignment="1">
      <alignment horizontal="center" vertical="center"/>
    </xf>
    <xf numFmtId="1" fontId="1" fillId="14" borderId="9" xfId="2" applyNumberFormat="1" applyFont="1" applyFill="1" applyBorder="1" applyAlignment="1">
      <alignment horizontal="center" vertical="center"/>
    </xf>
    <xf numFmtId="1" fontId="1" fillId="0" borderId="0" xfId="2" applyNumberFormat="1" applyFont="1" applyBorder="1" applyAlignment="1">
      <alignment horizontal="center" vertical="center"/>
    </xf>
    <xf numFmtId="1" fontId="1" fillId="2" borderId="0" xfId="2" applyNumberFormat="1" applyFont="1" applyFill="1" applyBorder="1" applyAlignment="1">
      <alignment horizontal="center" vertical="center"/>
    </xf>
    <xf numFmtId="1" fontId="0" fillId="0" borderId="0" xfId="0" applyNumberFormat="1"/>
    <xf numFmtId="9" fontId="9" fillId="3" borderId="7" xfId="2" applyFont="1" applyFill="1" applyBorder="1" applyAlignment="1">
      <alignment horizontal="center" vertical="center"/>
    </xf>
    <xf numFmtId="0" fontId="15" fillId="4" borderId="0" xfId="12" applyFont="1" applyFill="1" applyBorder="1">
      <alignment horizontal="left" vertical="center" indent="2"/>
    </xf>
    <xf numFmtId="0" fontId="15" fillId="4" borderId="0" xfId="11" applyFont="1" applyFill="1" applyBorder="1" applyAlignment="1">
      <alignment vertical="center"/>
    </xf>
    <xf numFmtId="9" fontId="1" fillId="4" borderId="0" xfId="2" applyFont="1" applyFill="1" applyBorder="1" applyAlignment="1">
      <alignment horizontal="center" vertical="center"/>
    </xf>
    <xf numFmtId="1" fontId="1" fillId="4" borderId="0" xfId="2" applyNumberFormat="1" applyFont="1" applyFill="1" applyBorder="1" applyAlignment="1">
      <alignment horizontal="center" vertical="center"/>
    </xf>
    <xf numFmtId="14" fontId="15" fillId="4" borderId="0" xfId="10" applyNumberFormat="1" applyFont="1" applyFill="1" applyBorder="1">
      <alignment horizontal="center" vertical="center"/>
    </xf>
    <xf numFmtId="0" fontId="15" fillId="5" borderId="0" xfId="12" applyFont="1" applyFill="1" applyBorder="1">
      <alignment horizontal="left" vertical="center" indent="2"/>
    </xf>
    <xf numFmtId="0" fontId="15" fillId="5" borderId="0" xfId="11" applyFont="1" applyFill="1" applyBorder="1" applyAlignment="1">
      <alignment vertical="center"/>
    </xf>
    <xf numFmtId="9" fontId="1" fillId="5" borderId="0" xfId="2" applyFont="1" applyFill="1" applyBorder="1" applyAlignment="1">
      <alignment horizontal="center" vertical="center"/>
    </xf>
    <xf numFmtId="1" fontId="1" fillId="5" borderId="0" xfId="2" applyNumberFormat="1" applyFont="1" applyFill="1" applyBorder="1" applyAlignment="1">
      <alignment horizontal="center" vertical="center"/>
    </xf>
    <xf numFmtId="14" fontId="15" fillId="5" borderId="0" xfId="10" applyNumberFormat="1" applyFont="1" applyFill="1" applyBorder="1">
      <alignment horizontal="center" vertical="center"/>
    </xf>
    <xf numFmtId="1" fontId="1" fillId="10" borderId="0" xfId="2" applyNumberFormat="1" applyFont="1" applyFill="1" applyBorder="1" applyAlignment="1">
      <alignment horizontal="center" vertical="center"/>
    </xf>
    <xf numFmtId="14" fontId="15" fillId="10" borderId="0" xfId="10" applyNumberFormat="1" applyFont="1" applyFill="1" applyBorder="1">
      <alignment horizontal="center" vertical="center"/>
    </xf>
    <xf numFmtId="0" fontId="16" fillId="14" borderId="9" xfId="12" applyFont="1" applyFill="1" applyBorder="1">
      <alignment horizontal="left" vertical="center" indent="2"/>
    </xf>
    <xf numFmtId="14" fontId="16" fillId="15" borderId="0" xfId="10" applyNumberFormat="1" applyFont="1" applyFill="1" applyBorder="1">
      <alignment horizontal="center" vertical="center"/>
    </xf>
    <xf numFmtId="0" fontId="4" fillId="0" borderId="21"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14" fontId="25" fillId="0" borderId="0" xfId="0" applyNumberFormat="1" applyFont="1" applyAlignment="1">
      <alignment horizontal="right"/>
    </xf>
    <xf numFmtId="0" fontId="25" fillId="0" borderId="0" xfId="0" applyFont="1" applyAlignment="1">
      <alignment horizontal="right" vertical="center"/>
    </xf>
    <xf numFmtId="0" fontId="14" fillId="0" borderId="0" xfId="0" applyFont="1" applyAlignment="1">
      <alignment horizontal="right" vertical="center"/>
    </xf>
    <xf numFmtId="14" fontId="16" fillId="15" borderId="6" xfId="10" applyNumberFormat="1" applyFont="1" applyFill="1" applyBorder="1">
      <alignment horizontal="center" vertical="center"/>
    </xf>
    <xf numFmtId="14" fontId="16" fillId="16" borderId="5" xfId="10" applyNumberFormat="1" applyFont="1" applyFill="1" applyBorder="1">
      <alignment horizontal="center" vertical="center"/>
    </xf>
    <xf numFmtId="14" fontId="16" fillId="17" borderId="8" xfId="10" applyNumberFormat="1" applyFont="1" applyFill="1" applyBorder="1">
      <alignment horizontal="center" vertical="center"/>
    </xf>
    <xf numFmtId="14" fontId="9" fillId="9" borderId="0" xfId="0" applyNumberFormat="1" applyFont="1" applyFill="1" applyAlignment="1">
      <alignment horizontal="center" vertical="center"/>
    </xf>
    <xf numFmtId="14" fontId="9" fillId="13" borderId="0" xfId="0" applyNumberFormat="1" applyFont="1" applyFill="1" applyAlignment="1">
      <alignment horizontal="center" vertical="center"/>
    </xf>
    <xf numFmtId="0" fontId="26" fillId="0" borderId="0" xfId="5" applyFont="1" applyAlignment="1">
      <alignment horizontal="left"/>
    </xf>
    <xf numFmtId="0" fontId="14" fillId="0" borderId="0" xfId="0" applyFont="1" applyAlignment="1">
      <alignment horizontal="right"/>
    </xf>
    <xf numFmtId="0" fontId="22" fillId="0" borderId="0" xfId="7" applyFont="1" applyAlignment="1"/>
    <xf numFmtId="0" fontId="22" fillId="0" borderId="0" xfId="6" applyFont="1" applyAlignment="1">
      <alignment vertical="center"/>
    </xf>
    <xf numFmtId="0" fontId="15" fillId="3" borderId="6" xfId="11" applyFont="1" applyFill="1" applyBorder="1" applyAlignment="1">
      <alignment vertical="center" wrapText="1"/>
    </xf>
    <xf numFmtId="0" fontId="16" fillId="6" borderId="0" xfId="11" applyFont="1" applyFill="1" applyBorder="1" applyAlignment="1">
      <alignment vertical="center"/>
    </xf>
    <xf numFmtId="9" fontId="1" fillId="3" borderId="6" xfId="2" applyFont="1" applyFill="1" applyBorder="1" applyAlignment="1">
      <alignment horizontal="center" vertical="center"/>
    </xf>
    <xf numFmtId="9" fontId="1" fillId="3" borderId="7" xfId="2" applyFont="1" applyFill="1" applyBorder="1" applyAlignment="1">
      <alignment horizontal="center" vertical="center"/>
    </xf>
    <xf numFmtId="9" fontId="9" fillId="15" borderId="6" xfId="2" applyFont="1" applyFill="1" applyBorder="1" applyAlignment="1">
      <alignment horizontal="center" vertical="center"/>
    </xf>
    <xf numFmtId="1" fontId="9" fillId="15" borderId="6" xfId="2" applyNumberFormat="1" applyFont="1" applyFill="1" applyBorder="1" applyAlignment="1">
      <alignment horizontal="center" vertical="center"/>
    </xf>
    <xf numFmtId="0" fontId="16" fillId="7" borderId="0" xfId="11" applyFont="1" applyFill="1" applyBorder="1" applyAlignment="1">
      <alignment vertical="center"/>
    </xf>
    <xf numFmtId="9" fontId="9" fillId="16" borderId="5" xfId="2" applyFont="1" applyFill="1" applyBorder="1" applyAlignment="1">
      <alignment horizontal="center" vertical="center"/>
    </xf>
    <xf numFmtId="1" fontId="9" fillId="16" borderId="5" xfId="2" applyNumberFormat="1" applyFont="1" applyFill="1" applyBorder="1" applyAlignment="1">
      <alignment horizontal="center" vertical="center"/>
    </xf>
    <xf numFmtId="0" fontId="15" fillId="4" borderId="5" xfId="11" applyFont="1" applyFill="1" applyBorder="1" applyAlignment="1">
      <alignment vertical="center" wrapText="1"/>
    </xf>
    <xf numFmtId="0" fontId="15" fillId="5" borderId="8" xfId="11" applyFont="1" applyFill="1" applyBorder="1" applyAlignment="1">
      <alignment vertical="center" wrapText="1"/>
    </xf>
    <xf numFmtId="0" fontId="16" fillId="17" borderId="8" xfId="11" applyFont="1" applyFill="1" applyBorder="1" applyAlignment="1">
      <alignment vertical="center"/>
    </xf>
    <xf numFmtId="9" fontId="9" fillId="17" borderId="8" xfId="2" applyFont="1" applyFill="1" applyBorder="1" applyAlignment="1">
      <alignment horizontal="center" vertical="center"/>
    </xf>
    <xf numFmtId="1" fontId="9" fillId="17" borderId="8" xfId="2" applyNumberFormat="1" applyFont="1" applyFill="1" applyBorder="1" applyAlignment="1">
      <alignment horizontal="center" vertical="center"/>
    </xf>
    <xf numFmtId="0" fontId="15" fillId="10" borderId="9" xfId="11" applyFont="1" applyFill="1" applyBorder="1" applyAlignment="1">
      <alignment vertical="center" wrapText="1"/>
    </xf>
    <xf numFmtId="0" fontId="16" fillId="9" borderId="0" xfId="11" applyFont="1" applyFill="1" applyBorder="1" applyAlignment="1">
      <alignment vertical="center"/>
    </xf>
    <xf numFmtId="9" fontId="9" fillId="9" borderId="0" xfId="2" applyFont="1" applyFill="1" applyBorder="1" applyAlignment="1">
      <alignment horizontal="center" vertical="center"/>
    </xf>
    <xf numFmtId="1" fontId="9" fillId="9" borderId="0" xfId="2" applyNumberFormat="1" applyFont="1" applyFill="1" applyBorder="1" applyAlignment="1">
      <alignment horizontal="center" vertical="center"/>
    </xf>
    <xf numFmtId="14" fontId="16" fillId="9" borderId="0" xfId="0" applyNumberFormat="1" applyFont="1" applyFill="1" applyAlignment="1">
      <alignment horizontal="center" vertical="center"/>
    </xf>
    <xf numFmtId="0" fontId="16" fillId="13" borderId="0" xfId="11" applyFont="1" applyFill="1" applyBorder="1" applyAlignment="1">
      <alignment vertical="center"/>
    </xf>
    <xf numFmtId="9" fontId="9" fillId="13" borderId="0" xfId="2" applyFont="1" applyFill="1" applyBorder="1" applyAlignment="1">
      <alignment horizontal="center" vertical="center"/>
    </xf>
    <xf numFmtId="1" fontId="9" fillId="13" borderId="0" xfId="2" applyNumberFormat="1" applyFont="1" applyFill="1" applyBorder="1" applyAlignment="1">
      <alignment horizontal="center" vertical="center"/>
    </xf>
    <xf numFmtId="14" fontId="16" fillId="13" borderId="0" xfId="0" applyNumberFormat="1" applyFont="1" applyFill="1" applyAlignment="1">
      <alignment horizontal="center" vertical="center"/>
    </xf>
    <xf numFmtId="0" fontId="27" fillId="14" borderId="9" xfId="12" applyFont="1" applyFill="1" applyBorder="1">
      <alignment horizontal="left" vertical="center" indent="2"/>
    </xf>
    <xf numFmtId="0" fontId="28" fillId="14" borderId="9" xfId="11" applyFont="1" applyFill="1" applyBorder="1" applyAlignment="1">
      <alignment vertical="center"/>
    </xf>
    <xf numFmtId="9" fontId="28" fillId="14" borderId="9" xfId="2" applyFont="1" applyFill="1" applyBorder="1" applyAlignment="1">
      <alignment horizontal="center" vertical="center"/>
    </xf>
    <xf numFmtId="1" fontId="28" fillId="14" borderId="9" xfId="2" applyNumberFormat="1" applyFont="1" applyFill="1" applyBorder="1" applyAlignment="1">
      <alignment horizontal="center" vertical="center"/>
    </xf>
    <xf numFmtId="14" fontId="28" fillId="14" borderId="9" xfId="10" applyNumberFormat="1" applyFont="1" applyFill="1" applyBorder="1">
      <alignment horizontal="center" vertical="center"/>
    </xf>
    <xf numFmtId="169" fontId="15" fillId="2" borderId="12" xfId="0" applyNumberFormat="1" applyFont="1" applyFill="1" applyBorder="1" applyAlignment="1">
      <alignment horizontal="center" vertical="center" wrapText="1"/>
    </xf>
    <xf numFmtId="169" fontId="15" fillId="2" borderId="18" xfId="0" applyNumberFormat="1" applyFont="1" applyFill="1" applyBorder="1" applyAlignment="1">
      <alignment horizontal="center" vertical="center" wrapText="1"/>
    </xf>
    <xf numFmtId="169" fontId="15" fillId="2" borderId="17" xfId="0" applyNumberFormat="1" applyFont="1" applyFill="1" applyBorder="1" applyAlignment="1">
      <alignment horizontal="center" vertical="center" wrapText="1"/>
    </xf>
    <xf numFmtId="0" fontId="16" fillId="11" borderId="15" xfId="0" applyFont="1" applyFill="1" applyBorder="1" applyAlignment="1">
      <alignment horizontal="center" vertical="center"/>
    </xf>
    <xf numFmtId="0" fontId="4" fillId="2" borderId="20" xfId="0" applyFont="1" applyFill="1" applyBorder="1"/>
    <xf numFmtId="0" fontId="23" fillId="0" borderId="0" xfId="0" applyFont="1" applyAlignment="1">
      <alignment horizontal="left"/>
    </xf>
    <xf numFmtId="0" fontId="24" fillId="0" borderId="0" xfId="0" applyFont="1"/>
    <xf numFmtId="168" fontId="23" fillId="0" borderId="0" xfId="9" applyNumberFormat="1" applyFont="1" applyBorder="1" applyAlignment="1">
      <alignment horizontal="left"/>
    </xf>
    <xf numFmtId="168" fontId="24" fillId="0" borderId="0" xfId="0" applyNumberFormat="1" applyFont="1"/>
    <xf numFmtId="0" fontId="22" fillId="0" borderId="0" xfId="8" applyFont="1" applyAlignment="1">
      <alignment horizontal="left"/>
    </xf>
    <xf numFmtId="0" fontId="4" fillId="0" borderId="0" xfId="0" applyFont="1"/>
    <xf numFmtId="0" fontId="14" fillId="0" borderId="0" xfId="0" applyFont="1" applyAlignment="1">
      <alignment horizontal="left" vertical="top" wrapText="1"/>
    </xf>
    <xf numFmtId="0" fontId="22" fillId="0" borderId="0" xfId="7" applyFont="1" applyAlignment="1">
      <alignment horizontal="right"/>
    </xf>
    <xf numFmtId="0" fontId="10" fillId="0" borderId="0" xfId="3" applyAlignment="1">
      <alignment wrapText="1"/>
    </xf>
    <xf numFmtId="0" fontId="16"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6" fillId="11" borderId="15" xfId="0" applyFont="1" applyFill="1" applyBorder="1" applyAlignment="1">
      <alignment horizontal="left" vertical="center"/>
    </xf>
    <xf numFmtId="0" fontId="4" fillId="2" borderId="20" xfId="0" applyFont="1" applyFill="1" applyBorder="1" applyAlignment="1">
      <alignment horizontal="left"/>
    </xf>
    <xf numFmtId="1" fontId="16" fillId="11" borderId="15" xfId="0" applyNumberFormat="1" applyFont="1" applyFill="1" applyBorder="1" applyAlignment="1">
      <alignment horizontal="center" vertical="center"/>
    </xf>
    <xf numFmtId="1" fontId="4" fillId="2" borderId="20" xfId="0" applyNumberFormat="1" applyFont="1" applyFill="1" applyBorder="1" applyAlignment="1">
      <alignment horizont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1">
    <dxf>
      <fill>
        <patternFill>
          <bgColor theme="7" tint="0.39994506668294322"/>
        </patternFill>
      </fill>
      <border>
        <left/>
        <right/>
      </border>
    </dxf>
    <dxf>
      <fill>
        <patternFill>
          <bgColor theme="7"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dashed">
          <color rgb="FFC00000"/>
        </left>
        <right style="dashed">
          <color rgb="FFC00000"/>
        </right>
        <vertical/>
        <horizontal/>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57"/>
  <sheetViews>
    <sheetView showGridLines="0" tabSelected="1" showRuler="0" zoomScale="119" zoomScaleNormal="119" zoomScalePageLayoutView="70" workbookViewId="0">
      <pane xSplit="7" ySplit="7" topLeftCell="H14" activePane="bottomRight" state="frozen"/>
      <selection pane="topRight" activeCell="G1" sqref="G1"/>
      <selection pane="bottomLeft" activeCell="A8" sqref="A8"/>
      <selection pane="bottomRight" activeCell="D23" sqref="D23"/>
    </sheetView>
  </sheetViews>
  <sheetFormatPr defaultColWidth="8.75" defaultRowHeight="30" customHeight="1" outlineLevelRow="1" x14ac:dyDescent="0.2"/>
  <cols>
    <col min="1" max="1" width="2.75" style="7" customWidth="1"/>
    <col min="2" max="2" width="35.125" bestFit="1" customWidth="1"/>
    <col min="3" max="3" width="17.5" bestFit="1" customWidth="1"/>
    <col min="4" max="4" width="11.875" customWidth="1"/>
    <col min="5" max="5" width="11.125" style="87" bestFit="1" customWidth="1"/>
    <col min="6" max="6" width="10.75" style="2" customWidth="1"/>
    <col min="7" max="7" width="10.75" customWidth="1"/>
    <col min="8" max="8" width="2.75" customWidth="1"/>
    <col min="9" max="9" width="6" hidden="1" customWidth="1"/>
    <col min="10" max="66" width="2.75" customWidth="1"/>
  </cols>
  <sheetData>
    <row r="1" spans="1:65" ht="42.75" x14ac:dyDescent="0.8">
      <c r="A1" s="8"/>
      <c r="B1" s="115" t="s">
        <v>156</v>
      </c>
      <c r="C1" s="12"/>
      <c r="D1" s="159" t="s">
        <v>158</v>
      </c>
      <c r="E1" s="159"/>
      <c r="F1" s="159"/>
      <c r="G1" s="117"/>
      <c r="I1" s="1"/>
      <c r="J1" s="156" t="s">
        <v>6</v>
      </c>
      <c r="K1" s="157"/>
      <c r="L1" s="157"/>
      <c r="M1" s="157"/>
      <c r="N1" s="157"/>
      <c r="O1" s="157"/>
      <c r="P1" s="157"/>
      <c r="Q1" s="14"/>
      <c r="R1" s="154">
        <v>46254</v>
      </c>
      <c r="S1" s="155"/>
      <c r="T1" s="155"/>
      <c r="U1" s="155"/>
      <c r="V1" s="155"/>
      <c r="W1" s="155"/>
      <c r="X1" s="155"/>
      <c r="Y1" s="155"/>
      <c r="Z1" s="155"/>
      <c r="AA1" s="155"/>
    </row>
    <row r="2" spans="1:65" ht="30" customHeight="1" x14ac:dyDescent="0.5">
      <c r="B2" s="118" t="s">
        <v>157</v>
      </c>
      <c r="D2" s="13"/>
      <c r="E2" s="56"/>
      <c r="F2" s="15"/>
      <c r="G2" s="13"/>
      <c r="J2" s="156" t="s">
        <v>7</v>
      </c>
      <c r="K2" s="157"/>
      <c r="L2" s="157"/>
      <c r="M2" s="157"/>
      <c r="N2" s="157"/>
      <c r="O2" s="157"/>
      <c r="P2" s="157"/>
      <c r="Q2" s="14"/>
      <c r="R2" s="152">
        <v>1</v>
      </c>
      <c r="S2" s="153"/>
      <c r="T2" s="153"/>
      <c r="U2" s="153"/>
      <c r="V2" s="153"/>
      <c r="W2" s="153"/>
      <c r="X2" s="153"/>
      <c r="Y2" s="153"/>
      <c r="Z2" s="153"/>
      <c r="AA2" s="153"/>
    </row>
    <row r="3" spans="1:65" s="16" customFormat="1" ht="30" customHeight="1" x14ac:dyDescent="0.25">
      <c r="A3" s="7"/>
      <c r="B3" s="158" t="s">
        <v>159</v>
      </c>
      <c r="C3" s="158"/>
      <c r="D3" s="17"/>
      <c r="E3" s="116" t="s">
        <v>160</v>
      </c>
      <c r="F3" s="107">
        <v>46282</v>
      </c>
    </row>
    <row r="4" spans="1:65" s="16" customFormat="1" ht="30" customHeight="1" x14ac:dyDescent="0.2">
      <c r="A4" s="8"/>
      <c r="B4" s="18"/>
      <c r="E4" s="109" t="s">
        <v>162</v>
      </c>
      <c r="F4" s="108">
        <f ca="1">+F3-TODAY()</f>
        <v>13</v>
      </c>
      <c r="J4" s="149">
        <f>_xlfn.ISOWEEKNUM(F8)</f>
        <v>34</v>
      </c>
      <c r="K4" s="147"/>
      <c r="L4" s="147"/>
      <c r="M4" s="147"/>
      <c r="N4" s="147"/>
      <c r="O4" s="147"/>
      <c r="P4" s="147"/>
      <c r="Q4" s="147">
        <f>+J4+1</f>
        <v>35</v>
      </c>
      <c r="R4" s="147"/>
      <c r="S4" s="147"/>
      <c r="T4" s="147"/>
      <c r="U4" s="147"/>
      <c r="V4" s="147"/>
      <c r="W4" s="147"/>
      <c r="X4" s="147">
        <f t="shared" ref="X4" si="0">+Q4+1</f>
        <v>36</v>
      </c>
      <c r="Y4" s="147"/>
      <c r="Z4" s="147"/>
      <c r="AA4" s="147"/>
      <c r="AB4" s="147"/>
      <c r="AC4" s="147"/>
      <c r="AD4" s="147"/>
      <c r="AE4" s="147">
        <f t="shared" ref="AE4" si="1">+X4+1</f>
        <v>37</v>
      </c>
      <c r="AF4" s="147"/>
      <c r="AG4" s="147"/>
      <c r="AH4" s="147"/>
      <c r="AI4" s="147"/>
      <c r="AJ4" s="147"/>
      <c r="AK4" s="147"/>
      <c r="AL4" s="147">
        <f t="shared" ref="AL4" si="2">+AE4+1</f>
        <v>38</v>
      </c>
      <c r="AM4" s="147"/>
      <c r="AN4" s="147"/>
      <c r="AO4" s="147"/>
      <c r="AP4" s="147"/>
      <c r="AQ4" s="147"/>
      <c r="AR4" s="147"/>
      <c r="AS4" s="147">
        <f t="shared" ref="AS4" si="3">+AL4+1</f>
        <v>39</v>
      </c>
      <c r="AT4" s="147"/>
      <c r="AU4" s="147"/>
      <c r="AV4" s="147"/>
      <c r="AW4" s="147"/>
      <c r="AX4" s="147"/>
      <c r="AY4" s="147"/>
      <c r="AZ4" s="147">
        <f t="shared" ref="AZ4" si="4">+AS4+1</f>
        <v>40</v>
      </c>
      <c r="BA4" s="147"/>
      <c r="BB4" s="147"/>
      <c r="BC4" s="147"/>
      <c r="BD4" s="147"/>
      <c r="BE4" s="147"/>
      <c r="BF4" s="147"/>
      <c r="BG4" s="147">
        <f t="shared" ref="BG4" si="5">+AZ4+1</f>
        <v>41</v>
      </c>
      <c r="BH4" s="147"/>
      <c r="BI4" s="147"/>
      <c r="BJ4" s="147"/>
      <c r="BK4" s="147"/>
      <c r="BL4" s="147"/>
      <c r="BM4" s="148"/>
    </row>
    <row r="5" spans="1:65" s="16" customFormat="1" ht="15" customHeight="1" x14ac:dyDescent="0.2">
      <c r="A5" s="160"/>
      <c r="B5" s="161" t="s">
        <v>4</v>
      </c>
      <c r="C5" s="163" t="s">
        <v>161</v>
      </c>
      <c r="D5" s="150" t="s">
        <v>1</v>
      </c>
      <c r="E5" s="165" t="s">
        <v>163</v>
      </c>
      <c r="F5" s="150" t="s">
        <v>2</v>
      </c>
      <c r="G5" s="150" t="s">
        <v>3</v>
      </c>
      <c r="J5" s="19">
        <f>Project_Start-WEEKDAY(Project_Start,1)+2+7*(Display_Week-1)</f>
        <v>46251</v>
      </c>
      <c r="K5" s="19">
        <f>J5+1</f>
        <v>46252</v>
      </c>
      <c r="L5" s="19">
        <f t="shared" ref="L5:AY5" si="6">K5+1</f>
        <v>46253</v>
      </c>
      <c r="M5" s="19">
        <f t="shared" si="6"/>
        <v>46254</v>
      </c>
      <c r="N5" s="19">
        <f t="shared" si="6"/>
        <v>46255</v>
      </c>
      <c r="O5" s="19">
        <f t="shared" si="6"/>
        <v>46256</v>
      </c>
      <c r="P5" s="20">
        <f t="shared" si="6"/>
        <v>46257</v>
      </c>
      <c r="Q5" s="21">
        <f>P5+1</f>
        <v>46258</v>
      </c>
      <c r="R5" s="19">
        <f>Q5+1</f>
        <v>46259</v>
      </c>
      <c r="S5" s="19">
        <f t="shared" si="6"/>
        <v>46260</v>
      </c>
      <c r="T5" s="19">
        <f t="shared" si="6"/>
        <v>46261</v>
      </c>
      <c r="U5" s="19">
        <f t="shared" si="6"/>
        <v>46262</v>
      </c>
      <c r="V5" s="19">
        <f t="shared" si="6"/>
        <v>46263</v>
      </c>
      <c r="W5" s="20">
        <f t="shared" si="6"/>
        <v>46264</v>
      </c>
      <c r="X5" s="21">
        <f>W5+1</f>
        <v>46265</v>
      </c>
      <c r="Y5" s="19">
        <f>X5+1</f>
        <v>46266</v>
      </c>
      <c r="Z5" s="19">
        <f t="shared" si="6"/>
        <v>46267</v>
      </c>
      <c r="AA5" s="19">
        <f t="shared" si="6"/>
        <v>46268</v>
      </c>
      <c r="AB5" s="19">
        <f t="shared" si="6"/>
        <v>46269</v>
      </c>
      <c r="AC5" s="19">
        <f t="shared" si="6"/>
        <v>46270</v>
      </c>
      <c r="AD5" s="20">
        <f t="shared" si="6"/>
        <v>46271</v>
      </c>
      <c r="AE5" s="21">
        <f>AD5+1</f>
        <v>46272</v>
      </c>
      <c r="AF5" s="19">
        <f>AE5+1</f>
        <v>46273</v>
      </c>
      <c r="AG5" s="19">
        <f t="shared" si="6"/>
        <v>46274</v>
      </c>
      <c r="AH5" s="19">
        <f t="shared" si="6"/>
        <v>46275</v>
      </c>
      <c r="AI5" s="19">
        <f t="shared" si="6"/>
        <v>46276</v>
      </c>
      <c r="AJ5" s="19">
        <f t="shared" si="6"/>
        <v>46277</v>
      </c>
      <c r="AK5" s="20">
        <f t="shared" si="6"/>
        <v>46278</v>
      </c>
      <c r="AL5" s="21">
        <f>AK5+1</f>
        <v>46279</v>
      </c>
      <c r="AM5" s="19">
        <f>AL5+1</f>
        <v>46280</v>
      </c>
      <c r="AN5" s="19">
        <f t="shared" si="6"/>
        <v>46281</v>
      </c>
      <c r="AO5" s="19">
        <f t="shared" si="6"/>
        <v>46282</v>
      </c>
      <c r="AP5" s="19">
        <f t="shared" si="6"/>
        <v>46283</v>
      </c>
      <c r="AQ5" s="19">
        <f t="shared" si="6"/>
        <v>46284</v>
      </c>
      <c r="AR5" s="20">
        <f t="shared" si="6"/>
        <v>46285</v>
      </c>
      <c r="AS5" s="21">
        <f>AR5+1</f>
        <v>46286</v>
      </c>
      <c r="AT5" s="19">
        <f>AS5+1</f>
        <v>46287</v>
      </c>
      <c r="AU5" s="19">
        <f t="shared" si="6"/>
        <v>46288</v>
      </c>
      <c r="AV5" s="19">
        <f t="shared" si="6"/>
        <v>46289</v>
      </c>
      <c r="AW5" s="19">
        <f t="shared" si="6"/>
        <v>46290</v>
      </c>
      <c r="AX5" s="19">
        <f t="shared" si="6"/>
        <v>46291</v>
      </c>
      <c r="AY5" s="20">
        <f t="shared" si="6"/>
        <v>46292</v>
      </c>
      <c r="AZ5" s="21">
        <f>AY5+1</f>
        <v>46293</v>
      </c>
      <c r="BA5" s="19">
        <f>AZ5+1</f>
        <v>46294</v>
      </c>
      <c r="BB5" s="19">
        <f t="shared" ref="BB5:BF5" si="7">BA5+1</f>
        <v>46295</v>
      </c>
      <c r="BC5" s="19">
        <f t="shared" si="7"/>
        <v>46296</v>
      </c>
      <c r="BD5" s="19">
        <f t="shared" si="7"/>
        <v>46297</v>
      </c>
      <c r="BE5" s="19">
        <f t="shared" si="7"/>
        <v>46298</v>
      </c>
      <c r="BF5" s="20">
        <f t="shared" si="7"/>
        <v>46299</v>
      </c>
      <c r="BG5" s="21">
        <f>BF5+1</f>
        <v>46300</v>
      </c>
      <c r="BH5" s="19">
        <f>BG5+1</f>
        <v>46301</v>
      </c>
      <c r="BI5" s="19">
        <f t="shared" ref="BI5:BM5" si="8">BH5+1</f>
        <v>46302</v>
      </c>
      <c r="BJ5" s="19">
        <f t="shared" si="8"/>
        <v>46303</v>
      </c>
      <c r="BK5" s="19">
        <f t="shared" si="8"/>
        <v>46304</v>
      </c>
      <c r="BL5" s="19">
        <f t="shared" si="8"/>
        <v>46305</v>
      </c>
      <c r="BM5" s="19">
        <f t="shared" si="8"/>
        <v>46306</v>
      </c>
    </row>
    <row r="6" spans="1:65" s="16" customFormat="1" ht="15" customHeight="1" thickBot="1" x14ac:dyDescent="0.25">
      <c r="A6" s="160"/>
      <c r="B6" s="162"/>
      <c r="C6" s="164"/>
      <c r="D6" s="151"/>
      <c r="E6" s="166"/>
      <c r="F6" s="151"/>
      <c r="G6" s="151"/>
      <c r="J6" s="22" t="str">
        <f t="shared" ref="J6:AO6" si="9">LEFT(TEXT(J5,"ddd"),1)</f>
        <v>d</v>
      </c>
      <c r="K6" s="23" t="str">
        <f t="shared" si="9"/>
        <v>d</v>
      </c>
      <c r="L6" s="23" t="str">
        <f t="shared" si="9"/>
        <v>d</v>
      </c>
      <c r="M6" s="23" t="str">
        <f t="shared" si="9"/>
        <v>d</v>
      </c>
      <c r="N6" s="23" t="str">
        <f t="shared" si="9"/>
        <v>d</v>
      </c>
      <c r="O6" s="23" t="str">
        <f t="shared" si="9"/>
        <v>d</v>
      </c>
      <c r="P6" s="23" t="str">
        <f t="shared" si="9"/>
        <v>d</v>
      </c>
      <c r="Q6" s="23" t="str">
        <f t="shared" si="9"/>
        <v>d</v>
      </c>
      <c r="R6" s="23" t="str">
        <f t="shared" si="9"/>
        <v>d</v>
      </c>
      <c r="S6" s="23" t="str">
        <f t="shared" si="9"/>
        <v>d</v>
      </c>
      <c r="T6" s="23" t="str">
        <f t="shared" si="9"/>
        <v>d</v>
      </c>
      <c r="U6" s="23" t="str">
        <f t="shared" si="9"/>
        <v>d</v>
      </c>
      <c r="V6" s="23" t="str">
        <f t="shared" si="9"/>
        <v>d</v>
      </c>
      <c r="W6" s="23" t="str">
        <f t="shared" si="9"/>
        <v>d</v>
      </c>
      <c r="X6" s="23" t="str">
        <f t="shared" si="9"/>
        <v>d</v>
      </c>
      <c r="Y6" s="23" t="str">
        <f t="shared" si="9"/>
        <v>d</v>
      </c>
      <c r="Z6" s="23" t="str">
        <f t="shared" si="9"/>
        <v>d</v>
      </c>
      <c r="AA6" s="23" t="str">
        <f t="shared" si="9"/>
        <v>d</v>
      </c>
      <c r="AB6" s="23" t="str">
        <f t="shared" si="9"/>
        <v>d</v>
      </c>
      <c r="AC6" s="23" t="str">
        <f t="shared" si="9"/>
        <v>d</v>
      </c>
      <c r="AD6" s="23" t="str">
        <f t="shared" si="9"/>
        <v>d</v>
      </c>
      <c r="AE6" s="23" t="str">
        <f t="shared" si="9"/>
        <v>d</v>
      </c>
      <c r="AF6" s="23" t="str">
        <f t="shared" si="9"/>
        <v>d</v>
      </c>
      <c r="AG6" s="23" t="str">
        <f t="shared" si="9"/>
        <v>d</v>
      </c>
      <c r="AH6" s="23" t="str">
        <f t="shared" si="9"/>
        <v>d</v>
      </c>
      <c r="AI6" s="23" t="str">
        <f t="shared" si="9"/>
        <v>d</v>
      </c>
      <c r="AJ6" s="23" t="str">
        <f t="shared" si="9"/>
        <v>d</v>
      </c>
      <c r="AK6" s="23" t="str">
        <f t="shared" si="9"/>
        <v>d</v>
      </c>
      <c r="AL6" s="23" t="str">
        <f t="shared" si="9"/>
        <v>d</v>
      </c>
      <c r="AM6" s="23" t="str">
        <f t="shared" si="9"/>
        <v>d</v>
      </c>
      <c r="AN6" s="23" t="str">
        <f t="shared" si="9"/>
        <v>d</v>
      </c>
      <c r="AO6" s="23" t="str">
        <f t="shared" si="9"/>
        <v>d</v>
      </c>
      <c r="AP6" s="23" t="str">
        <f t="shared" ref="AP6:BM6" si="10">LEFT(TEXT(AP5,"ddd"),1)</f>
        <v>d</v>
      </c>
      <c r="AQ6" s="23" t="str">
        <f t="shared" si="10"/>
        <v>d</v>
      </c>
      <c r="AR6" s="23" t="str">
        <f t="shared" si="10"/>
        <v>d</v>
      </c>
      <c r="AS6" s="23" t="str">
        <f t="shared" si="10"/>
        <v>d</v>
      </c>
      <c r="AT6" s="23" t="str">
        <f t="shared" si="10"/>
        <v>d</v>
      </c>
      <c r="AU6" s="23" t="str">
        <f t="shared" si="10"/>
        <v>d</v>
      </c>
      <c r="AV6" s="23" t="str">
        <f t="shared" si="10"/>
        <v>d</v>
      </c>
      <c r="AW6" s="23" t="str">
        <f t="shared" si="10"/>
        <v>d</v>
      </c>
      <c r="AX6" s="23" t="str">
        <f t="shared" si="10"/>
        <v>d</v>
      </c>
      <c r="AY6" s="23" t="str">
        <f t="shared" si="10"/>
        <v>d</v>
      </c>
      <c r="AZ6" s="23" t="str">
        <f t="shared" si="10"/>
        <v>d</v>
      </c>
      <c r="BA6" s="23" t="str">
        <f t="shared" si="10"/>
        <v>d</v>
      </c>
      <c r="BB6" s="23" t="str">
        <f t="shared" si="10"/>
        <v>d</v>
      </c>
      <c r="BC6" s="23" t="str">
        <f t="shared" si="10"/>
        <v>d</v>
      </c>
      <c r="BD6" s="23" t="str">
        <f t="shared" si="10"/>
        <v>d</v>
      </c>
      <c r="BE6" s="23" t="str">
        <f t="shared" si="10"/>
        <v>d</v>
      </c>
      <c r="BF6" s="23" t="str">
        <f t="shared" si="10"/>
        <v>d</v>
      </c>
      <c r="BG6" s="23" t="str">
        <f t="shared" si="10"/>
        <v>d</v>
      </c>
      <c r="BH6" s="23" t="str">
        <f t="shared" si="10"/>
        <v>d</v>
      </c>
      <c r="BI6" s="23" t="str">
        <f t="shared" si="10"/>
        <v>d</v>
      </c>
      <c r="BJ6" s="23" t="str">
        <f t="shared" si="10"/>
        <v>d</v>
      </c>
      <c r="BK6" s="23" t="str">
        <f t="shared" si="10"/>
        <v>d</v>
      </c>
      <c r="BL6" s="23" t="str">
        <f t="shared" si="10"/>
        <v>d</v>
      </c>
      <c r="BM6" s="24" t="str">
        <f t="shared" si="10"/>
        <v>d</v>
      </c>
    </row>
    <row r="7" spans="1:65" s="16" customFormat="1" ht="30" hidden="1" customHeight="1" thickBot="1" x14ac:dyDescent="0.25">
      <c r="A7" s="7" t="s">
        <v>5</v>
      </c>
      <c r="B7" s="25"/>
      <c r="C7" s="26"/>
      <c r="D7" s="25"/>
      <c r="E7" s="78"/>
      <c r="F7" s="25"/>
      <c r="G7" s="25"/>
      <c r="I7" s="16" t="str">
        <f>IF(OR(ISBLANK(task_start),ISBLANK(task_end)),"",task_end-task_start+1)</f>
        <v/>
      </c>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103"/>
      <c r="AO7" s="30"/>
      <c r="AP7" s="105"/>
      <c r="AQ7" s="27"/>
      <c r="AR7" s="27"/>
      <c r="AS7" s="27"/>
      <c r="AT7" s="27"/>
      <c r="AU7" s="27"/>
      <c r="AV7" s="27"/>
      <c r="AW7" s="27"/>
      <c r="AX7" s="27"/>
      <c r="AY7" s="27"/>
      <c r="AZ7" s="27"/>
      <c r="BA7" s="27"/>
      <c r="BB7" s="27"/>
      <c r="BC7" s="27"/>
      <c r="BD7" s="27"/>
      <c r="BE7" s="27"/>
      <c r="BF7" s="27"/>
      <c r="BG7" s="27"/>
      <c r="BH7" s="27"/>
      <c r="BI7" s="27"/>
      <c r="BJ7" s="27"/>
      <c r="BK7" s="27"/>
      <c r="BL7" s="27"/>
      <c r="BM7" s="27"/>
    </row>
    <row r="8" spans="1:65" s="30" customFormat="1" ht="30" customHeight="1" thickBot="1" x14ac:dyDescent="0.25">
      <c r="A8" s="8"/>
      <c r="B8" s="28" t="s">
        <v>14</v>
      </c>
      <c r="C8" s="120" t="s">
        <v>16</v>
      </c>
      <c r="D8" s="123">
        <f>SUM(D9:D16)/COUNT(D9:D16)</f>
        <v>1</v>
      </c>
      <c r="E8" s="124">
        <f>+G8-F8</f>
        <v>6</v>
      </c>
      <c r="F8" s="102">
        <v>46254</v>
      </c>
      <c r="G8" s="110">
        <f>MAX(G9:G16)</f>
        <v>46260</v>
      </c>
      <c r="H8" s="11"/>
      <c r="I8" s="5">
        <f t="shared" ref="I8:I54" si="11">IF(OR(ISBLANK(task_start),ISBLANK(task_end)),"",task_end-task_start+1)</f>
        <v>7</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104"/>
      <c r="AO8" s="43"/>
      <c r="AP8" s="106"/>
      <c r="AQ8" s="33"/>
      <c r="AR8" s="33"/>
      <c r="AS8" s="33"/>
      <c r="AT8" s="33"/>
      <c r="AU8" s="33"/>
      <c r="AV8" s="33"/>
      <c r="AW8" s="33"/>
      <c r="AX8" s="33"/>
      <c r="AY8" s="33"/>
      <c r="AZ8" s="33"/>
      <c r="BA8" s="33"/>
      <c r="BB8" s="33"/>
      <c r="BC8" s="33"/>
      <c r="BD8" s="33"/>
      <c r="BE8" s="33"/>
      <c r="BF8" s="33"/>
      <c r="BG8" s="33"/>
      <c r="BH8" s="33"/>
      <c r="BI8" s="33"/>
      <c r="BJ8" s="33"/>
      <c r="BK8" s="33"/>
      <c r="BL8" s="33"/>
      <c r="BM8" s="33"/>
    </row>
    <row r="9" spans="1:65" s="30" customFormat="1" ht="30" customHeight="1" thickBot="1" x14ac:dyDescent="0.25">
      <c r="A9" s="8"/>
      <c r="B9" s="31" t="s">
        <v>30</v>
      </c>
      <c r="C9" s="119" t="s">
        <v>31</v>
      </c>
      <c r="D9" s="121">
        <v>1</v>
      </c>
      <c r="E9" s="79">
        <v>1</v>
      </c>
      <c r="F9" s="72">
        <f>F8</f>
        <v>46254</v>
      </c>
      <c r="G9" s="72">
        <f>F9+E9-1</f>
        <v>46254</v>
      </c>
      <c r="H9" s="11"/>
      <c r="I9" s="5"/>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104"/>
      <c r="AO9" s="43"/>
      <c r="AP9" s="106"/>
      <c r="AQ9" s="33"/>
      <c r="AR9" s="33"/>
      <c r="AS9" s="33"/>
      <c r="AT9" s="33"/>
      <c r="AU9" s="33"/>
      <c r="AV9" s="33"/>
      <c r="AW9" s="33"/>
      <c r="AX9" s="33"/>
      <c r="AY9" s="33"/>
      <c r="AZ9" s="33"/>
      <c r="BA9" s="33"/>
      <c r="BB9" s="33"/>
      <c r="BC9" s="33"/>
      <c r="BD9" s="33"/>
      <c r="BE9" s="33"/>
      <c r="BF9" s="33"/>
      <c r="BG9" s="33"/>
      <c r="BH9" s="33"/>
      <c r="BI9" s="33"/>
      <c r="BJ9" s="33"/>
      <c r="BK9" s="33"/>
      <c r="BL9" s="33"/>
      <c r="BM9" s="33"/>
    </row>
    <row r="10" spans="1:65" s="30" customFormat="1" ht="30" customHeight="1" thickBot="1" x14ac:dyDescent="0.25">
      <c r="A10" s="8"/>
      <c r="B10" s="31" t="s">
        <v>32</v>
      </c>
      <c r="C10" s="119" t="s">
        <v>33</v>
      </c>
      <c r="D10" s="121">
        <v>1</v>
      </c>
      <c r="E10" s="79">
        <v>1</v>
      </c>
      <c r="F10" s="72">
        <f>G9+1</f>
        <v>46255</v>
      </c>
      <c r="G10" s="72">
        <f t="shared" ref="G10:G14" si="12">F10+E10-1</f>
        <v>46255</v>
      </c>
      <c r="H10" s="11"/>
      <c r="I10" s="5"/>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104"/>
      <c r="AO10" s="43"/>
      <c r="AP10" s="106"/>
      <c r="AQ10" s="33"/>
      <c r="AR10" s="33"/>
      <c r="AS10" s="33"/>
      <c r="AT10" s="33"/>
      <c r="AU10" s="33"/>
      <c r="AV10" s="33"/>
      <c r="AW10" s="33"/>
      <c r="AX10" s="33"/>
      <c r="AY10" s="33"/>
      <c r="AZ10" s="33"/>
      <c r="BA10" s="33"/>
      <c r="BB10" s="33"/>
      <c r="BC10" s="33"/>
      <c r="BD10" s="33"/>
      <c r="BE10" s="33"/>
      <c r="BF10" s="33"/>
      <c r="BG10" s="33"/>
      <c r="BH10" s="33"/>
      <c r="BI10" s="33"/>
      <c r="BJ10" s="33"/>
      <c r="BK10" s="33"/>
      <c r="BL10" s="33"/>
      <c r="BM10" s="33"/>
    </row>
    <row r="11" spans="1:65" s="30" customFormat="1" ht="30" customHeight="1" thickBot="1" x14ac:dyDescent="0.25">
      <c r="A11" s="8"/>
      <c r="B11" s="31" t="s">
        <v>34</v>
      </c>
      <c r="C11" s="119" t="s">
        <v>35</v>
      </c>
      <c r="D11" s="121">
        <v>1</v>
      </c>
      <c r="E11" s="79">
        <v>1</v>
      </c>
      <c r="F11" s="72">
        <f t="shared" ref="F11:F14" si="13">F10+1</f>
        <v>46256</v>
      </c>
      <c r="G11" s="72">
        <f t="shared" si="12"/>
        <v>46256</v>
      </c>
      <c r="H11" s="11"/>
      <c r="I11" s="5"/>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104"/>
      <c r="AO11" s="43"/>
      <c r="AP11" s="106"/>
      <c r="AQ11" s="33"/>
      <c r="AR11" s="33"/>
      <c r="AS11" s="33"/>
      <c r="AT11" s="33"/>
      <c r="AU11" s="33"/>
      <c r="AV11" s="33"/>
      <c r="AW11" s="33"/>
      <c r="AX11" s="33"/>
      <c r="AY11" s="33"/>
      <c r="AZ11" s="33"/>
      <c r="BA11" s="33"/>
      <c r="BB11" s="33"/>
      <c r="BC11" s="33"/>
      <c r="BD11" s="33"/>
      <c r="BE11" s="33"/>
      <c r="BF11" s="33"/>
      <c r="BG11" s="33"/>
      <c r="BH11" s="33"/>
      <c r="BI11" s="33"/>
      <c r="BJ11" s="33"/>
      <c r="BK11" s="33"/>
      <c r="BL11" s="33"/>
      <c r="BM11" s="33"/>
    </row>
    <row r="12" spans="1:65" s="30" customFormat="1" ht="30" customHeight="1" thickBot="1" x14ac:dyDescent="0.25">
      <c r="A12" s="8"/>
      <c r="B12" s="34" t="s">
        <v>36</v>
      </c>
      <c r="C12" s="119" t="s">
        <v>37</v>
      </c>
      <c r="D12" s="122">
        <v>1</v>
      </c>
      <c r="E12" s="80">
        <v>1</v>
      </c>
      <c r="F12" s="73">
        <f t="shared" si="13"/>
        <v>46257</v>
      </c>
      <c r="G12" s="73">
        <f t="shared" si="12"/>
        <v>46257</v>
      </c>
      <c r="H12" s="11"/>
      <c r="I12" s="5">
        <f t="shared" si="11"/>
        <v>1</v>
      </c>
      <c r="J12" s="33"/>
      <c r="K12" s="33"/>
      <c r="L12" s="33"/>
      <c r="M12" s="33"/>
      <c r="N12" s="33"/>
      <c r="O12" s="33"/>
      <c r="P12" s="33"/>
      <c r="Q12" s="33"/>
      <c r="R12" s="33"/>
      <c r="S12" s="33"/>
      <c r="T12" s="33"/>
      <c r="U12" s="33"/>
      <c r="V12" s="35"/>
      <c r="W12" s="35"/>
      <c r="X12" s="33"/>
      <c r="Y12" s="33"/>
      <c r="Z12" s="33"/>
      <c r="AA12" s="33"/>
      <c r="AB12" s="33"/>
      <c r="AC12" s="33"/>
      <c r="AD12" s="33"/>
      <c r="AE12" s="33"/>
      <c r="AF12" s="33"/>
      <c r="AG12" s="33"/>
      <c r="AH12" s="33"/>
      <c r="AI12" s="33"/>
      <c r="AJ12" s="33"/>
      <c r="AK12" s="33"/>
      <c r="AL12" s="33"/>
      <c r="AM12" s="33"/>
      <c r="AN12" s="104"/>
      <c r="AO12" s="43"/>
      <c r="AP12" s="106"/>
      <c r="AQ12" s="33"/>
      <c r="AR12" s="33"/>
      <c r="AS12" s="33"/>
      <c r="AT12" s="33"/>
      <c r="AU12" s="33"/>
      <c r="AV12" s="33"/>
      <c r="AW12" s="33"/>
      <c r="AX12" s="33"/>
      <c r="AY12" s="33"/>
      <c r="AZ12" s="33"/>
      <c r="BA12" s="33"/>
      <c r="BB12" s="33"/>
      <c r="BC12" s="33"/>
      <c r="BD12" s="33"/>
      <c r="BE12" s="33"/>
      <c r="BF12" s="33"/>
      <c r="BG12" s="33"/>
      <c r="BH12" s="33"/>
      <c r="BI12" s="33"/>
      <c r="BJ12" s="33"/>
      <c r="BK12" s="33"/>
      <c r="BL12" s="33"/>
      <c r="BM12" s="33"/>
    </row>
    <row r="13" spans="1:65" s="30" customFormat="1" ht="30" customHeight="1" thickBot="1" x14ac:dyDescent="0.25">
      <c r="A13" s="7"/>
      <c r="B13" s="34" t="s">
        <v>38</v>
      </c>
      <c r="C13" s="119" t="s">
        <v>39</v>
      </c>
      <c r="D13" s="122">
        <v>1</v>
      </c>
      <c r="E13" s="80">
        <v>1</v>
      </c>
      <c r="F13" s="73">
        <f t="shared" si="13"/>
        <v>46258</v>
      </c>
      <c r="G13" s="73">
        <f t="shared" si="12"/>
        <v>46258</v>
      </c>
      <c r="H13" s="11"/>
      <c r="I13" s="5">
        <f t="shared" si="11"/>
        <v>1</v>
      </c>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104"/>
      <c r="AO13" s="43"/>
      <c r="AP13" s="106"/>
      <c r="AQ13" s="33"/>
      <c r="AR13" s="33"/>
      <c r="AS13" s="33"/>
      <c r="AT13" s="33"/>
      <c r="AU13" s="33"/>
      <c r="AV13" s="33"/>
      <c r="AW13" s="33"/>
      <c r="AX13" s="33"/>
      <c r="AY13" s="33"/>
      <c r="AZ13" s="33"/>
      <c r="BA13" s="33"/>
      <c r="BB13" s="33"/>
      <c r="BC13" s="33"/>
      <c r="BD13" s="33"/>
      <c r="BE13" s="33"/>
      <c r="BF13" s="33"/>
      <c r="BG13" s="33"/>
      <c r="BH13" s="33"/>
      <c r="BI13" s="33"/>
      <c r="BJ13" s="33"/>
      <c r="BK13" s="33"/>
      <c r="BL13" s="33"/>
      <c r="BM13" s="33"/>
    </row>
    <row r="14" spans="1:65" s="30" customFormat="1" ht="30" customHeight="1" thickBot="1" x14ac:dyDescent="0.25">
      <c r="A14" s="7"/>
      <c r="B14" s="34" t="s">
        <v>40</v>
      </c>
      <c r="C14" s="119" t="s">
        <v>41</v>
      </c>
      <c r="D14" s="122">
        <v>1</v>
      </c>
      <c r="E14" s="80">
        <v>1</v>
      </c>
      <c r="F14" s="73">
        <f t="shared" si="13"/>
        <v>46259</v>
      </c>
      <c r="G14" s="73">
        <f t="shared" si="12"/>
        <v>46259</v>
      </c>
      <c r="H14" s="11"/>
      <c r="I14" s="5">
        <f t="shared" si="11"/>
        <v>1</v>
      </c>
      <c r="J14" s="33"/>
      <c r="K14" s="33"/>
      <c r="L14" s="33"/>
      <c r="M14" s="33"/>
      <c r="N14" s="33"/>
      <c r="O14" s="33"/>
      <c r="P14" s="33"/>
      <c r="Q14" s="33"/>
      <c r="R14" s="33"/>
      <c r="S14" s="33"/>
      <c r="T14" s="33"/>
      <c r="U14" s="33"/>
      <c r="V14" s="33"/>
      <c r="W14" s="33"/>
      <c r="X14" s="33"/>
      <c r="Y14" s="33"/>
      <c r="Z14" s="35"/>
      <c r="AA14" s="33"/>
      <c r="AB14" s="33"/>
      <c r="AC14" s="33"/>
      <c r="AD14" s="33"/>
      <c r="AE14" s="33"/>
      <c r="AF14" s="33"/>
      <c r="AG14" s="33"/>
      <c r="AH14" s="33"/>
      <c r="AI14" s="33"/>
      <c r="AJ14" s="33"/>
      <c r="AK14" s="33"/>
      <c r="AL14" s="33"/>
      <c r="AM14" s="33"/>
      <c r="AN14" s="104"/>
      <c r="AO14" s="43"/>
      <c r="AP14" s="106"/>
      <c r="AQ14" s="33"/>
      <c r="AR14" s="33"/>
      <c r="AS14" s="33"/>
      <c r="AT14" s="33"/>
      <c r="AU14" s="33"/>
      <c r="AV14" s="33"/>
      <c r="AW14" s="33"/>
      <c r="AX14" s="33"/>
      <c r="AY14" s="33"/>
      <c r="AZ14" s="33"/>
      <c r="BA14" s="33"/>
      <c r="BB14" s="33"/>
      <c r="BC14" s="33"/>
      <c r="BD14" s="33"/>
      <c r="BE14" s="33"/>
      <c r="BF14" s="33"/>
      <c r="BG14" s="33"/>
      <c r="BH14" s="33"/>
      <c r="BI14" s="33"/>
      <c r="BJ14" s="33"/>
      <c r="BK14" s="33"/>
      <c r="BL14" s="33"/>
      <c r="BM14" s="33"/>
    </row>
    <row r="15" spans="1:65" s="30" customFormat="1" ht="30" customHeight="1" thickBot="1" x14ac:dyDescent="0.25">
      <c r="A15" s="7"/>
      <c r="B15" s="34" t="s">
        <v>40</v>
      </c>
      <c r="C15" s="119" t="s">
        <v>16</v>
      </c>
      <c r="D15" s="122">
        <v>1</v>
      </c>
      <c r="E15" s="80">
        <v>1</v>
      </c>
      <c r="F15" s="73">
        <f t="shared" ref="F15" si="14">F14+1</f>
        <v>46260</v>
      </c>
      <c r="G15" s="73">
        <f t="shared" ref="G15" si="15">F15+E15-1</f>
        <v>46260</v>
      </c>
      <c r="H15" s="11"/>
      <c r="I15" s="5"/>
      <c r="J15" s="33"/>
      <c r="K15" s="33"/>
      <c r="L15" s="33"/>
      <c r="M15" s="33"/>
      <c r="N15" s="33"/>
      <c r="O15" s="33"/>
      <c r="P15" s="33"/>
      <c r="Q15" s="33"/>
      <c r="R15" s="33"/>
      <c r="S15" s="33"/>
      <c r="T15" s="33"/>
      <c r="U15" s="33"/>
      <c r="V15" s="33"/>
      <c r="W15" s="33"/>
      <c r="X15" s="33"/>
      <c r="Y15" s="33"/>
      <c r="Z15" s="35"/>
      <c r="AA15" s="33"/>
      <c r="AB15" s="33"/>
      <c r="AC15" s="33"/>
      <c r="AD15" s="33"/>
      <c r="AE15" s="33"/>
      <c r="AF15" s="33"/>
      <c r="AG15" s="33"/>
      <c r="AH15" s="33"/>
      <c r="AI15" s="33"/>
      <c r="AJ15" s="33"/>
      <c r="AK15" s="33"/>
      <c r="AL15" s="33"/>
      <c r="AM15" s="33"/>
      <c r="AN15" s="104"/>
      <c r="AO15" s="43"/>
      <c r="AP15" s="106"/>
      <c r="AQ15" s="33"/>
      <c r="AR15" s="33"/>
      <c r="AS15" s="33"/>
      <c r="AT15" s="33"/>
      <c r="AU15" s="33"/>
      <c r="AV15" s="33"/>
      <c r="AW15" s="33"/>
      <c r="AX15" s="33"/>
      <c r="AY15" s="33"/>
      <c r="AZ15" s="33"/>
      <c r="BA15" s="33"/>
      <c r="BB15" s="33"/>
      <c r="BC15" s="33"/>
      <c r="BD15" s="33"/>
      <c r="BE15" s="33"/>
      <c r="BF15" s="33"/>
      <c r="BG15" s="33"/>
      <c r="BH15" s="33"/>
      <c r="BI15" s="33"/>
      <c r="BJ15" s="33"/>
      <c r="BK15" s="33"/>
      <c r="BL15" s="33"/>
      <c r="BM15" s="33"/>
    </row>
    <row r="16" spans="1:65" s="30" customFormat="1" ht="30" hidden="1" customHeight="1" outlineLevel="1" thickBot="1" x14ac:dyDescent="0.25">
      <c r="A16" s="7"/>
      <c r="B16" s="34"/>
      <c r="C16" s="32"/>
      <c r="D16" s="88"/>
      <c r="E16" s="80"/>
      <c r="F16" s="73"/>
      <c r="G16" s="73"/>
      <c r="H16" s="11"/>
      <c r="I16" s="5"/>
      <c r="J16" s="33"/>
      <c r="K16" s="33"/>
      <c r="L16" s="33"/>
      <c r="M16" s="33"/>
      <c r="N16" s="33"/>
      <c r="O16" s="33"/>
      <c r="P16" s="33"/>
      <c r="Q16" s="33"/>
      <c r="R16" s="33"/>
      <c r="S16" s="33"/>
      <c r="T16" s="33"/>
      <c r="U16" s="33"/>
      <c r="V16" s="33"/>
      <c r="W16" s="33"/>
      <c r="X16" s="33"/>
      <c r="Y16" s="33"/>
      <c r="Z16" s="35"/>
      <c r="AA16" s="33"/>
      <c r="AB16" s="33"/>
      <c r="AC16" s="33"/>
      <c r="AD16" s="33"/>
      <c r="AE16" s="33"/>
      <c r="AF16" s="33"/>
      <c r="AG16" s="33"/>
      <c r="AH16" s="33"/>
      <c r="AI16" s="33"/>
      <c r="AJ16" s="33"/>
      <c r="AK16" s="33"/>
      <c r="AL16" s="33"/>
      <c r="AM16" s="33"/>
      <c r="AN16" s="104"/>
      <c r="AO16" s="43"/>
      <c r="AP16" s="106"/>
      <c r="AQ16" s="33"/>
      <c r="AR16" s="33"/>
      <c r="AS16" s="33"/>
      <c r="AT16" s="33"/>
      <c r="AU16" s="33"/>
      <c r="AV16" s="33"/>
      <c r="AW16" s="33"/>
      <c r="AX16" s="33"/>
      <c r="AY16" s="33"/>
      <c r="AZ16" s="33"/>
      <c r="BA16" s="33"/>
      <c r="BB16" s="33"/>
      <c r="BC16" s="33"/>
      <c r="BD16" s="33"/>
      <c r="BE16" s="33"/>
      <c r="BF16" s="33"/>
      <c r="BG16" s="33"/>
      <c r="BH16" s="33"/>
      <c r="BI16" s="33"/>
      <c r="BJ16" s="33"/>
      <c r="BK16" s="33"/>
      <c r="BL16" s="33"/>
      <c r="BM16" s="33"/>
    </row>
    <row r="17" spans="1:65" s="30" customFormat="1" ht="30" customHeight="1" collapsed="1" thickBot="1" x14ac:dyDescent="0.25">
      <c r="A17" s="8"/>
      <c r="B17" s="36" t="s">
        <v>17</v>
      </c>
      <c r="C17" s="125" t="s">
        <v>18</v>
      </c>
      <c r="D17" s="126">
        <f>SUM(D18:D24)/COUNT(D18:D24)</f>
        <v>0.81428571428571417</v>
      </c>
      <c r="E17" s="127">
        <f>+G17-F17</f>
        <v>6</v>
      </c>
      <c r="F17" s="111">
        <f>G8+1</f>
        <v>46261</v>
      </c>
      <c r="G17" s="111">
        <f>MAX(G18:G25)</f>
        <v>46267</v>
      </c>
      <c r="H17" s="11"/>
      <c r="I17" s="5">
        <f t="shared" si="11"/>
        <v>7</v>
      </c>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104"/>
      <c r="AO17" s="43"/>
      <c r="AP17" s="106"/>
      <c r="AQ17" s="33"/>
      <c r="AR17" s="33"/>
      <c r="AS17" s="33"/>
      <c r="AT17" s="33"/>
      <c r="AU17" s="33"/>
      <c r="AV17" s="33"/>
      <c r="AW17" s="33"/>
      <c r="AX17" s="33"/>
      <c r="AY17" s="33"/>
      <c r="AZ17" s="33"/>
      <c r="BA17" s="33"/>
      <c r="BB17" s="33"/>
      <c r="BC17" s="33"/>
      <c r="BD17" s="33"/>
      <c r="BE17" s="33"/>
      <c r="BF17" s="33"/>
      <c r="BG17" s="33"/>
      <c r="BH17" s="33"/>
      <c r="BI17" s="33"/>
      <c r="BJ17" s="33"/>
      <c r="BK17" s="33"/>
      <c r="BL17" s="33"/>
      <c r="BM17" s="33"/>
    </row>
    <row r="18" spans="1:65" s="30" customFormat="1" ht="30" customHeight="1" thickBot="1" x14ac:dyDescent="0.25">
      <c r="A18" s="8"/>
      <c r="B18" s="37" t="s">
        <v>43</v>
      </c>
      <c r="C18" s="128" t="s">
        <v>44</v>
      </c>
      <c r="D18" s="38">
        <v>0.8</v>
      </c>
      <c r="E18" s="81">
        <v>1</v>
      </c>
      <c r="F18" s="74">
        <f>F17</f>
        <v>46261</v>
      </c>
      <c r="G18" s="74">
        <f>F18+E18-1</f>
        <v>46261</v>
      </c>
      <c r="H18" s="11"/>
      <c r="I18" s="5"/>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104"/>
      <c r="AO18" s="43"/>
      <c r="AP18" s="106"/>
      <c r="AQ18" s="33"/>
      <c r="AR18" s="33"/>
      <c r="AS18" s="33"/>
      <c r="AT18" s="33"/>
      <c r="AU18" s="33"/>
      <c r="AV18" s="33"/>
      <c r="AW18" s="33"/>
      <c r="AX18" s="33"/>
      <c r="AY18" s="33"/>
      <c r="AZ18" s="33"/>
      <c r="BA18" s="33"/>
      <c r="BB18" s="33"/>
      <c r="BC18" s="33"/>
      <c r="BD18" s="33"/>
      <c r="BE18" s="33"/>
      <c r="BF18" s="33"/>
      <c r="BG18" s="33"/>
      <c r="BH18" s="33"/>
      <c r="BI18" s="33"/>
      <c r="BJ18" s="33"/>
      <c r="BK18" s="33"/>
      <c r="BL18" s="33"/>
      <c r="BM18" s="33"/>
    </row>
    <row r="19" spans="1:65" s="30" customFormat="1" ht="30" customHeight="1" thickBot="1" x14ac:dyDescent="0.25">
      <c r="A19" s="8"/>
      <c r="B19" s="37" t="s">
        <v>45</v>
      </c>
      <c r="C19" s="128" t="s">
        <v>46</v>
      </c>
      <c r="D19" s="38">
        <v>1</v>
      </c>
      <c r="E19" s="81">
        <v>1</v>
      </c>
      <c r="F19" s="74">
        <f>G18+1</f>
        <v>46262</v>
      </c>
      <c r="G19" s="74">
        <f t="shared" ref="G19:G24" si="16">F19+E19-1</f>
        <v>46262</v>
      </c>
      <c r="H19" s="11"/>
      <c r="I19" s="5"/>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104"/>
      <c r="AO19" s="43"/>
      <c r="AP19" s="106"/>
      <c r="AQ19" s="33"/>
      <c r="AR19" s="33"/>
      <c r="AS19" s="33"/>
      <c r="AT19" s="33"/>
      <c r="AU19" s="33"/>
      <c r="AV19" s="33"/>
      <c r="AW19" s="33"/>
      <c r="AX19" s="33"/>
      <c r="AY19" s="33"/>
      <c r="AZ19" s="33"/>
      <c r="BA19" s="33"/>
      <c r="BB19" s="33"/>
      <c r="BC19" s="33"/>
      <c r="BD19" s="33"/>
      <c r="BE19" s="33"/>
      <c r="BF19" s="33"/>
      <c r="BG19" s="33"/>
      <c r="BH19" s="33"/>
      <c r="BI19" s="33"/>
      <c r="BJ19" s="33"/>
      <c r="BK19" s="33"/>
      <c r="BL19" s="33"/>
      <c r="BM19" s="33"/>
    </row>
    <row r="20" spans="1:65" s="30" customFormat="1" ht="30" customHeight="1" thickBot="1" x14ac:dyDescent="0.25">
      <c r="A20" s="8"/>
      <c r="B20" s="37" t="s">
        <v>47</v>
      </c>
      <c r="C20" s="128" t="s">
        <v>48</v>
      </c>
      <c r="D20" s="38">
        <v>1</v>
      </c>
      <c r="E20" s="81">
        <v>1</v>
      </c>
      <c r="F20" s="74">
        <f t="shared" ref="F20:F24" si="17">F19+1</f>
        <v>46263</v>
      </c>
      <c r="G20" s="74">
        <f t="shared" si="16"/>
        <v>46263</v>
      </c>
      <c r="H20" s="11"/>
      <c r="I20" s="5"/>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104"/>
      <c r="AO20" s="43"/>
      <c r="AP20" s="106"/>
      <c r="AQ20" s="33"/>
      <c r="AR20" s="33"/>
      <c r="AS20" s="33"/>
      <c r="AT20" s="33"/>
      <c r="AU20" s="33"/>
      <c r="AV20" s="33"/>
      <c r="AW20" s="33"/>
      <c r="AX20" s="33"/>
      <c r="AY20" s="33"/>
      <c r="AZ20" s="33"/>
      <c r="BA20" s="33"/>
      <c r="BB20" s="33"/>
      <c r="BC20" s="33"/>
      <c r="BD20" s="33"/>
      <c r="BE20" s="33"/>
      <c r="BF20" s="33"/>
      <c r="BG20" s="33"/>
      <c r="BH20" s="33"/>
      <c r="BI20" s="33"/>
      <c r="BJ20" s="33"/>
      <c r="BK20" s="33"/>
      <c r="BL20" s="33"/>
      <c r="BM20" s="33"/>
    </row>
    <row r="21" spans="1:65" s="30" customFormat="1" ht="30" customHeight="1" thickBot="1" x14ac:dyDescent="0.25">
      <c r="A21" s="7"/>
      <c r="B21" s="37" t="s">
        <v>49</v>
      </c>
      <c r="C21" s="128" t="s">
        <v>50</v>
      </c>
      <c r="D21" s="38">
        <v>0.8</v>
      </c>
      <c r="E21" s="81">
        <v>1</v>
      </c>
      <c r="F21" s="74">
        <f t="shared" si="17"/>
        <v>46264</v>
      </c>
      <c r="G21" s="74">
        <f t="shared" si="16"/>
        <v>46264</v>
      </c>
      <c r="H21" s="11"/>
      <c r="I21" s="5">
        <f t="shared" si="11"/>
        <v>1</v>
      </c>
      <c r="J21" s="33"/>
      <c r="K21" s="33"/>
      <c r="L21" s="33"/>
      <c r="M21" s="33"/>
      <c r="N21" s="33"/>
      <c r="O21" s="33"/>
      <c r="P21" s="33"/>
      <c r="Q21" s="33"/>
      <c r="R21" s="33"/>
      <c r="S21" s="33"/>
      <c r="T21" s="33"/>
      <c r="U21" s="33"/>
      <c r="V21" s="35"/>
      <c r="W21" s="35"/>
      <c r="X21" s="33"/>
      <c r="Y21" s="33"/>
      <c r="Z21" s="33"/>
      <c r="AA21" s="33"/>
      <c r="AB21" s="33"/>
      <c r="AC21" s="33"/>
      <c r="AD21" s="33"/>
      <c r="AE21" s="33"/>
      <c r="AF21" s="33"/>
      <c r="AG21" s="33"/>
      <c r="AH21" s="33"/>
      <c r="AI21" s="33"/>
      <c r="AJ21" s="33"/>
      <c r="AK21" s="33"/>
      <c r="AL21" s="33"/>
      <c r="AM21" s="33"/>
      <c r="AN21" s="104"/>
      <c r="AO21" s="43"/>
      <c r="AP21" s="106"/>
      <c r="AQ21" s="33"/>
      <c r="AR21" s="33"/>
      <c r="AS21" s="33"/>
      <c r="AT21" s="33"/>
      <c r="AU21" s="33"/>
      <c r="AV21" s="33"/>
      <c r="AW21" s="33"/>
      <c r="AX21" s="33"/>
      <c r="AY21" s="33"/>
      <c r="AZ21" s="33"/>
      <c r="BA21" s="33"/>
      <c r="BB21" s="33"/>
      <c r="BC21" s="33"/>
      <c r="BD21" s="33"/>
      <c r="BE21" s="33"/>
      <c r="BF21" s="33"/>
      <c r="BG21" s="33"/>
      <c r="BH21" s="33"/>
      <c r="BI21" s="33"/>
      <c r="BJ21" s="33"/>
      <c r="BK21" s="33"/>
      <c r="BL21" s="33"/>
      <c r="BM21" s="33"/>
    </row>
    <row r="22" spans="1:65" s="30" customFormat="1" ht="30" customHeight="1" thickBot="1" x14ac:dyDescent="0.25">
      <c r="A22" s="7"/>
      <c r="B22" s="37" t="s">
        <v>51</v>
      </c>
      <c r="C22" s="128" t="s">
        <v>52</v>
      </c>
      <c r="D22" s="38">
        <v>0.5</v>
      </c>
      <c r="E22" s="81">
        <v>1</v>
      </c>
      <c r="F22" s="74">
        <f t="shared" si="17"/>
        <v>46265</v>
      </c>
      <c r="G22" s="74">
        <f t="shared" si="16"/>
        <v>46265</v>
      </c>
      <c r="H22" s="11"/>
      <c r="I22" s="5">
        <f t="shared" si="11"/>
        <v>1</v>
      </c>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104"/>
      <c r="AO22" s="43"/>
      <c r="AP22" s="106"/>
      <c r="AQ22" s="33"/>
      <c r="AR22" s="33"/>
      <c r="AS22" s="33"/>
      <c r="AT22" s="33"/>
      <c r="AU22" s="33"/>
      <c r="AV22" s="33"/>
      <c r="AW22" s="33"/>
      <c r="AX22" s="33"/>
      <c r="AY22" s="33"/>
      <c r="AZ22" s="33"/>
      <c r="BA22" s="33"/>
      <c r="BB22" s="33"/>
      <c r="BC22" s="33"/>
      <c r="BD22" s="33"/>
      <c r="BE22" s="33"/>
      <c r="BF22" s="33"/>
      <c r="BG22" s="33"/>
      <c r="BH22" s="33"/>
      <c r="BI22" s="33"/>
      <c r="BJ22" s="33"/>
      <c r="BK22" s="33"/>
      <c r="BL22" s="33"/>
      <c r="BM22" s="33"/>
    </row>
    <row r="23" spans="1:65" s="30" customFormat="1" ht="30" customHeight="1" thickBot="1" x14ac:dyDescent="0.25">
      <c r="A23" s="7"/>
      <c r="B23" s="37" t="s">
        <v>53</v>
      </c>
      <c r="C23" s="128" t="s">
        <v>54</v>
      </c>
      <c r="D23" s="38">
        <v>0.8</v>
      </c>
      <c r="E23" s="81">
        <v>1</v>
      </c>
      <c r="F23" s="74">
        <f t="shared" si="17"/>
        <v>46266</v>
      </c>
      <c r="G23" s="74">
        <f t="shared" si="16"/>
        <v>46266</v>
      </c>
      <c r="H23" s="11"/>
      <c r="I23" s="5">
        <f t="shared" si="11"/>
        <v>1</v>
      </c>
      <c r="J23" s="33"/>
      <c r="K23" s="33"/>
      <c r="L23" s="33"/>
      <c r="M23" s="33"/>
      <c r="N23" s="33"/>
      <c r="O23" s="33"/>
      <c r="P23" s="33"/>
      <c r="Q23" s="33"/>
      <c r="R23" s="33"/>
      <c r="S23" s="33"/>
      <c r="T23" s="33"/>
      <c r="U23" s="33"/>
      <c r="V23" s="33"/>
      <c r="W23" s="33"/>
      <c r="X23" s="33"/>
      <c r="Y23" s="33"/>
      <c r="Z23" s="35"/>
      <c r="AA23" s="33"/>
      <c r="AB23" s="33"/>
      <c r="AC23" s="33"/>
      <c r="AD23" s="33"/>
      <c r="AE23" s="33"/>
      <c r="AF23" s="33"/>
      <c r="AG23" s="33"/>
      <c r="AH23" s="33"/>
      <c r="AI23" s="33"/>
      <c r="AJ23" s="33"/>
      <c r="AK23" s="33"/>
      <c r="AL23" s="33"/>
      <c r="AM23" s="33"/>
      <c r="AN23" s="104"/>
      <c r="AO23" s="43"/>
      <c r="AP23" s="106"/>
      <c r="AQ23" s="33"/>
      <c r="AR23" s="33"/>
      <c r="AS23" s="33"/>
      <c r="AT23" s="33"/>
      <c r="AU23" s="33"/>
      <c r="AV23" s="33"/>
      <c r="AW23" s="33"/>
      <c r="AX23" s="33"/>
      <c r="AY23" s="33"/>
      <c r="AZ23" s="33"/>
      <c r="BA23" s="33"/>
      <c r="BB23" s="33"/>
      <c r="BC23" s="33"/>
      <c r="BD23" s="33"/>
      <c r="BE23" s="33"/>
      <c r="BF23" s="33"/>
      <c r="BG23" s="33"/>
      <c r="BH23" s="33"/>
      <c r="BI23" s="33"/>
      <c r="BJ23" s="33"/>
      <c r="BK23" s="33"/>
      <c r="BL23" s="33"/>
      <c r="BM23" s="33"/>
    </row>
    <row r="24" spans="1:65" s="30" customFormat="1" ht="30" customHeight="1" thickBot="1" x14ac:dyDescent="0.25">
      <c r="A24" s="7"/>
      <c r="B24" s="37" t="s">
        <v>55</v>
      </c>
      <c r="C24" s="128" t="s">
        <v>18</v>
      </c>
      <c r="D24" s="38">
        <v>0.8</v>
      </c>
      <c r="E24" s="81">
        <v>1</v>
      </c>
      <c r="F24" s="74">
        <f t="shared" si="17"/>
        <v>46267</v>
      </c>
      <c r="G24" s="74">
        <f t="shared" si="16"/>
        <v>46267</v>
      </c>
      <c r="H24" s="11"/>
      <c r="I24" s="5">
        <f t="shared" si="11"/>
        <v>1</v>
      </c>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104"/>
      <c r="AO24" s="43"/>
      <c r="AP24" s="106"/>
      <c r="AQ24" s="33"/>
      <c r="AR24" s="33"/>
      <c r="AS24" s="33"/>
      <c r="AT24" s="33"/>
      <c r="AU24" s="33"/>
      <c r="AV24" s="33"/>
      <c r="AW24" s="33"/>
      <c r="AX24" s="33"/>
      <c r="AY24" s="33"/>
      <c r="AZ24" s="33"/>
      <c r="BA24" s="33"/>
      <c r="BB24" s="33"/>
      <c r="BC24" s="33"/>
      <c r="BD24" s="33"/>
      <c r="BE24" s="33"/>
      <c r="BF24" s="33"/>
      <c r="BG24" s="33"/>
      <c r="BH24" s="33"/>
      <c r="BI24" s="33"/>
      <c r="BJ24" s="33"/>
      <c r="BK24" s="33"/>
      <c r="BL24" s="33"/>
      <c r="BM24" s="33"/>
    </row>
    <row r="25" spans="1:65" s="30" customFormat="1" ht="30" hidden="1" customHeight="1" outlineLevel="1" thickBot="1" x14ac:dyDescent="0.25">
      <c r="A25" s="7"/>
      <c r="B25" s="89"/>
      <c r="C25" s="90"/>
      <c r="D25" s="91"/>
      <c r="E25" s="92"/>
      <c r="F25" s="93"/>
      <c r="G25" s="93"/>
      <c r="H25" s="11"/>
      <c r="I25" s="5"/>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104"/>
      <c r="AO25" s="43"/>
      <c r="AP25" s="106"/>
      <c r="AQ25" s="33"/>
      <c r="AR25" s="33"/>
      <c r="AS25" s="33"/>
      <c r="AT25" s="33"/>
      <c r="AU25" s="33"/>
      <c r="AV25" s="33"/>
      <c r="AW25" s="33"/>
      <c r="AX25" s="33"/>
      <c r="AY25" s="33"/>
      <c r="AZ25" s="33"/>
      <c r="BA25" s="33"/>
      <c r="BB25" s="33"/>
      <c r="BC25" s="33"/>
      <c r="BD25" s="33"/>
      <c r="BE25" s="33"/>
      <c r="BF25" s="33"/>
      <c r="BG25" s="33"/>
      <c r="BH25" s="33"/>
      <c r="BI25" s="33"/>
      <c r="BJ25" s="33"/>
      <c r="BK25" s="33"/>
      <c r="BL25" s="33"/>
      <c r="BM25" s="33"/>
    </row>
    <row r="26" spans="1:65" s="30" customFormat="1" ht="30" customHeight="1" collapsed="1" thickBot="1" x14ac:dyDescent="0.25">
      <c r="A26" s="7"/>
      <c r="B26" s="39" t="s">
        <v>19</v>
      </c>
      <c r="C26" s="130" t="s">
        <v>20</v>
      </c>
      <c r="D26" s="131">
        <f>SUM(D27:D33)/COUNT(D27:D33)</f>
        <v>0</v>
      </c>
      <c r="E26" s="132">
        <f>+G26-F26</f>
        <v>6</v>
      </c>
      <c r="F26" s="112">
        <f>G17+1</f>
        <v>46268</v>
      </c>
      <c r="G26" s="112">
        <f>MAX(G27:G34)</f>
        <v>46274</v>
      </c>
      <c r="H26" s="11"/>
      <c r="I26" s="5">
        <f t="shared" si="11"/>
        <v>7</v>
      </c>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104"/>
      <c r="AO26" s="43"/>
      <c r="AP26" s="106"/>
      <c r="AQ26" s="33"/>
      <c r="AR26" s="33"/>
      <c r="AS26" s="33"/>
      <c r="AT26" s="33"/>
      <c r="AU26" s="33"/>
      <c r="AV26" s="33"/>
      <c r="AW26" s="33"/>
      <c r="AX26" s="33"/>
      <c r="AY26" s="33"/>
      <c r="AZ26" s="33"/>
      <c r="BA26" s="33"/>
      <c r="BB26" s="33"/>
      <c r="BC26" s="33"/>
      <c r="BD26" s="33"/>
      <c r="BE26" s="33"/>
      <c r="BF26" s="33"/>
      <c r="BG26" s="33"/>
      <c r="BH26" s="33"/>
      <c r="BI26" s="33"/>
      <c r="BJ26" s="33"/>
      <c r="BK26" s="33"/>
      <c r="BL26" s="33"/>
      <c r="BM26" s="33"/>
    </row>
    <row r="27" spans="1:65" s="30" customFormat="1" ht="30" customHeight="1" thickBot="1" x14ac:dyDescent="0.25">
      <c r="A27" s="7"/>
      <c r="B27" s="40" t="s">
        <v>56</v>
      </c>
      <c r="C27" s="129" t="s">
        <v>57</v>
      </c>
      <c r="D27" s="41">
        <v>0</v>
      </c>
      <c r="E27" s="82">
        <v>1</v>
      </c>
      <c r="F27" s="75">
        <f>F26</f>
        <v>46268</v>
      </c>
      <c r="G27" s="75">
        <f>F27+E27-1</f>
        <v>46268</v>
      </c>
      <c r="H27" s="11"/>
      <c r="I27" s="5"/>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104"/>
      <c r="AO27" s="43"/>
      <c r="AP27" s="106"/>
      <c r="AQ27" s="33"/>
      <c r="AR27" s="33"/>
      <c r="AS27" s="33"/>
      <c r="AT27" s="33"/>
      <c r="AU27" s="33"/>
      <c r="AV27" s="33"/>
      <c r="AW27" s="33"/>
      <c r="AX27" s="33"/>
      <c r="AY27" s="33"/>
      <c r="AZ27" s="33"/>
      <c r="BA27" s="33"/>
      <c r="BB27" s="33"/>
      <c r="BC27" s="33"/>
      <c r="BD27" s="33"/>
      <c r="BE27" s="33"/>
      <c r="BF27" s="33"/>
      <c r="BG27" s="33"/>
      <c r="BH27" s="33"/>
      <c r="BI27" s="33"/>
      <c r="BJ27" s="33"/>
      <c r="BK27" s="33"/>
      <c r="BL27" s="33"/>
      <c r="BM27" s="33"/>
    </row>
    <row r="28" spans="1:65" s="30" customFormat="1" ht="30" customHeight="1" thickBot="1" x14ac:dyDescent="0.25">
      <c r="A28" s="7"/>
      <c r="B28" s="40" t="s">
        <v>58</v>
      </c>
      <c r="C28" s="129" t="s">
        <v>59</v>
      </c>
      <c r="D28" s="41">
        <v>0</v>
      </c>
      <c r="E28" s="82">
        <v>1</v>
      </c>
      <c r="F28" s="75">
        <f>G27+1</f>
        <v>46269</v>
      </c>
      <c r="G28" s="75">
        <f t="shared" ref="G28:G32" si="18">F28+E28-1</f>
        <v>46269</v>
      </c>
      <c r="H28" s="11"/>
      <c r="I28" s="5"/>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104"/>
      <c r="AO28" s="43"/>
      <c r="AP28" s="106"/>
      <c r="AQ28" s="33"/>
      <c r="AR28" s="33"/>
      <c r="AS28" s="33"/>
      <c r="AT28" s="33"/>
      <c r="AU28" s="33"/>
      <c r="AV28" s="33"/>
      <c r="AW28" s="33"/>
      <c r="AX28" s="33"/>
      <c r="AY28" s="33"/>
      <c r="AZ28" s="33"/>
      <c r="BA28" s="33"/>
      <c r="BB28" s="33"/>
      <c r="BC28" s="33"/>
      <c r="BD28" s="33"/>
      <c r="BE28" s="33"/>
      <c r="BF28" s="33"/>
      <c r="BG28" s="33"/>
      <c r="BH28" s="33"/>
      <c r="BI28" s="33"/>
      <c r="BJ28" s="33"/>
      <c r="BK28" s="33"/>
      <c r="BL28" s="33"/>
      <c r="BM28" s="33"/>
    </row>
    <row r="29" spans="1:65" s="30" customFormat="1" ht="30" customHeight="1" thickBot="1" x14ac:dyDescent="0.25">
      <c r="A29" s="7"/>
      <c r="B29" s="40" t="s">
        <v>60</v>
      </c>
      <c r="C29" s="129" t="s">
        <v>61</v>
      </c>
      <c r="D29" s="41">
        <v>0</v>
      </c>
      <c r="E29" s="82">
        <v>1</v>
      </c>
      <c r="F29" s="75">
        <f t="shared" ref="F29:F32" si="19">F28+1</f>
        <v>46270</v>
      </c>
      <c r="G29" s="75">
        <f t="shared" si="18"/>
        <v>46270</v>
      </c>
      <c r="H29" s="11"/>
      <c r="I29" s="5"/>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104"/>
      <c r="AO29" s="43"/>
      <c r="AP29" s="106"/>
      <c r="AQ29" s="33"/>
      <c r="AR29" s="33"/>
      <c r="AS29" s="33"/>
      <c r="AT29" s="33"/>
      <c r="AU29" s="33"/>
      <c r="AV29" s="33"/>
      <c r="AW29" s="33"/>
      <c r="AX29" s="33"/>
      <c r="AY29" s="33"/>
      <c r="AZ29" s="33"/>
      <c r="BA29" s="33"/>
      <c r="BB29" s="33"/>
      <c r="BC29" s="33"/>
      <c r="BD29" s="33"/>
      <c r="BE29" s="33"/>
      <c r="BF29" s="33"/>
      <c r="BG29" s="33"/>
      <c r="BH29" s="33"/>
      <c r="BI29" s="33"/>
      <c r="BJ29" s="33"/>
      <c r="BK29" s="33"/>
      <c r="BL29" s="33"/>
      <c r="BM29" s="33"/>
    </row>
    <row r="30" spans="1:65" s="30" customFormat="1" ht="30" customHeight="1" thickBot="1" x14ac:dyDescent="0.25">
      <c r="A30" s="7"/>
      <c r="B30" s="40" t="s">
        <v>62</v>
      </c>
      <c r="C30" s="129" t="s">
        <v>63</v>
      </c>
      <c r="D30" s="41">
        <v>0</v>
      </c>
      <c r="E30" s="82">
        <v>1</v>
      </c>
      <c r="F30" s="75">
        <f t="shared" si="19"/>
        <v>46271</v>
      </c>
      <c r="G30" s="75">
        <f t="shared" si="18"/>
        <v>46271</v>
      </c>
      <c r="H30" s="11"/>
      <c r="I30" s="5">
        <f t="shared" si="11"/>
        <v>1</v>
      </c>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104"/>
      <c r="AO30" s="43"/>
      <c r="AP30" s="106"/>
      <c r="AQ30" s="33"/>
      <c r="AR30" s="33"/>
      <c r="AS30" s="33"/>
      <c r="AT30" s="33"/>
      <c r="AU30" s="33"/>
      <c r="AV30" s="33"/>
      <c r="AW30" s="33"/>
      <c r="AX30" s="33"/>
      <c r="AY30" s="33"/>
      <c r="AZ30" s="33"/>
      <c r="BA30" s="33"/>
      <c r="BB30" s="33"/>
      <c r="BC30" s="33"/>
      <c r="BD30" s="33"/>
      <c r="BE30" s="33"/>
      <c r="BF30" s="33"/>
      <c r="BG30" s="33"/>
      <c r="BH30" s="33"/>
      <c r="BI30" s="33"/>
      <c r="BJ30" s="33"/>
      <c r="BK30" s="33"/>
      <c r="BL30" s="33"/>
      <c r="BM30" s="33"/>
    </row>
    <row r="31" spans="1:65" s="30" customFormat="1" ht="30" customHeight="1" thickBot="1" x14ac:dyDescent="0.25">
      <c r="A31" s="7"/>
      <c r="B31" s="40" t="s">
        <v>64</v>
      </c>
      <c r="C31" s="129" t="s">
        <v>65</v>
      </c>
      <c r="D31" s="41">
        <v>0</v>
      </c>
      <c r="E31" s="82">
        <v>1</v>
      </c>
      <c r="F31" s="75">
        <f t="shared" si="19"/>
        <v>46272</v>
      </c>
      <c r="G31" s="75">
        <f t="shared" si="18"/>
        <v>46272</v>
      </c>
      <c r="H31" s="11"/>
      <c r="I31" s="5">
        <f t="shared" si="11"/>
        <v>1</v>
      </c>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104"/>
      <c r="AO31" s="43"/>
      <c r="AP31" s="106"/>
      <c r="AQ31" s="33"/>
      <c r="AR31" s="33"/>
      <c r="AS31" s="33"/>
      <c r="AT31" s="33"/>
      <c r="AU31" s="33"/>
      <c r="AV31" s="33"/>
      <c r="AW31" s="33"/>
      <c r="AX31" s="33"/>
      <c r="AY31" s="33"/>
      <c r="AZ31" s="33"/>
      <c r="BA31" s="33"/>
      <c r="BB31" s="33"/>
      <c r="BC31" s="33"/>
      <c r="BD31" s="33"/>
      <c r="BE31" s="33"/>
      <c r="BF31" s="33"/>
      <c r="BG31" s="33"/>
      <c r="BH31" s="33"/>
      <c r="BI31" s="33"/>
      <c r="BJ31" s="33"/>
      <c r="BK31" s="33"/>
      <c r="BL31" s="33"/>
      <c r="BM31" s="33"/>
    </row>
    <row r="32" spans="1:65" s="30" customFormat="1" ht="30" customHeight="1" thickBot="1" x14ac:dyDescent="0.25">
      <c r="A32" s="7"/>
      <c r="B32" s="40" t="s">
        <v>66</v>
      </c>
      <c r="C32" s="129" t="s">
        <v>67</v>
      </c>
      <c r="D32" s="41">
        <v>0</v>
      </c>
      <c r="E32" s="82">
        <v>1</v>
      </c>
      <c r="F32" s="75">
        <f t="shared" si="19"/>
        <v>46273</v>
      </c>
      <c r="G32" s="75">
        <f t="shared" si="18"/>
        <v>46273</v>
      </c>
      <c r="H32" s="11"/>
      <c r="I32" s="5">
        <f t="shared" si="11"/>
        <v>1</v>
      </c>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104"/>
      <c r="AO32" s="43"/>
      <c r="AP32" s="106"/>
      <c r="AQ32" s="33"/>
      <c r="AR32" s="33"/>
      <c r="AS32" s="33"/>
      <c r="AT32" s="33"/>
      <c r="AU32" s="33"/>
      <c r="AV32" s="33"/>
      <c r="AW32" s="33"/>
      <c r="AX32" s="33"/>
      <c r="AY32" s="33"/>
      <c r="AZ32" s="33"/>
      <c r="BA32" s="33"/>
      <c r="BB32" s="33"/>
      <c r="BC32" s="33"/>
      <c r="BD32" s="33"/>
      <c r="BE32" s="33"/>
      <c r="BF32" s="33"/>
      <c r="BG32" s="33"/>
      <c r="BH32" s="33"/>
      <c r="BI32" s="33"/>
      <c r="BJ32" s="33"/>
      <c r="BK32" s="33"/>
      <c r="BL32" s="33"/>
      <c r="BM32" s="33"/>
    </row>
    <row r="33" spans="1:65" s="30" customFormat="1" ht="30" customHeight="1" thickBot="1" x14ac:dyDescent="0.25">
      <c r="A33" s="7"/>
      <c r="B33" s="40" t="s">
        <v>68</v>
      </c>
      <c r="C33" s="129" t="s">
        <v>20</v>
      </c>
      <c r="D33" s="41">
        <v>0</v>
      </c>
      <c r="E33" s="82">
        <v>1</v>
      </c>
      <c r="F33" s="75">
        <f t="shared" ref="F33" si="20">F32+1</f>
        <v>46274</v>
      </c>
      <c r="G33" s="75">
        <f t="shared" ref="G33" si="21">F33+E33-1</f>
        <v>46274</v>
      </c>
      <c r="H33" s="11"/>
      <c r="I33" s="5"/>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104"/>
      <c r="AO33" s="43"/>
      <c r="AP33" s="106"/>
      <c r="AQ33" s="33"/>
      <c r="AR33" s="33"/>
      <c r="AS33" s="33"/>
      <c r="AT33" s="33"/>
      <c r="AU33" s="33"/>
      <c r="AV33" s="33"/>
      <c r="AW33" s="33"/>
      <c r="AX33" s="33"/>
      <c r="AY33" s="33"/>
      <c r="AZ33" s="33"/>
      <c r="BA33" s="33"/>
      <c r="BB33" s="33"/>
      <c r="BC33" s="33"/>
      <c r="BD33" s="33"/>
      <c r="BE33" s="33"/>
      <c r="BF33" s="33"/>
      <c r="BG33" s="33"/>
      <c r="BH33" s="33"/>
      <c r="BI33" s="33"/>
      <c r="BJ33" s="33"/>
      <c r="BK33" s="33"/>
      <c r="BL33" s="33"/>
      <c r="BM33" s="33"/>
    </row>
    <row r="34" spans="1:65" s="30" customFormat="1" ht="30" hidden="1" customHeight="1" outlineLevel="1" thickBot="1" x14ac:dyDescent="0.25">
      <c r="A34" s="7"/>
      <c r="B34" s="94"/>
      <c r="C34" s="95"/>
      <c r="D34" s="96"/>
      <c r="E34" s="97"/>
      <c r="F34" s="98"/>
      <c r="G34" s="98"/>
      <c r="H34" s="11"/>
      <c r="I34" s="5"/>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104"/>
      <c r="AO34" s="43"/>
      <c r="AP34" s="106"/>
      <c r="AQ34" s="33"/>
      <c r="AR34" s="33"/>
      <c r="AS34" s="33"/>
      <c r="AT34" s="33"/>
      <c r="AU34" s="33"/>
      <c r="AV34" s="33"/>
      <c r="AW34" s="33"/>
      <c r="AX34" s="33"/>
      <c r="AY34" s="33"/>
      <c r="AZ34" s="33"/>
      <c r="BA34" s="33"/>
      <c r="BB34" s="33"/>
      <c r="BC34" s="33"/>
      <c r="BD34" s="33"/>
      <c r="BE34" s="33"/>
      <c r="BF34" s="33"/>
      <c r="BG34" s="33"/>
      <c r="BH34" s="33"/>
      <c r="BI34" s="33"/>
      <c r="BJ34" s="33"/>
      <c r="BK34" s="33"/>
      <c r="BL34" s="33"/>
      <c r="BM34" s="33"/>
    </row>
    <row r="35" spans="1:65" s="30" customFormat="1" ht="30" customHeight="1" collapsed="1" thickBot="1" x14ac:dyDescent="0.25">
      <c r="A35" s="7"/>
      <c r="B35" s="42" t="s">
        <v>21</v>
      </c>
      <c r="C35" s="134" t="s">
        <v>22</v>
      </c>
      <c r="D35" s="135">
        <f>SUM(D36:D44)/COUNT(D36:D44)</f>
        <v>0</v>
      </c>
      <c r="E35" s="136">
        <f>+G35-F35</f>
        <v>4</v>
      </c>
      <c r="F35" s="137">
        <f>G26+1</f>
        <v>46275</v>
      </c>
      <c r="G35" s="113">
        <f>MAX(G36:G43)</f>
        <v>46279</v>
      </c>
      <c r="H35" s="11"/>
      <c r="I35" s="5">
        <f t="shared" si="11"/>
        <v>5</v>
      </c>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104"/>
      <c r="AO35" s="43"/>
      <c r="AP35" s="106"/>
      <c r="AQ35" s="33"/>
      <c r="AR35" s="33"/>
      <c r="AS35" s="33"/>
      <c r="AT35" s="33"/>
      <c r="AU35" s="33"/>
      <c r="AV35" s="33"/>
      <c r="AW35" s="33"/>
      <c r="AX35" s="33"/>
      <c r="AY35" s="33"/>
      <c r="AZ35" s="33"/>
      <c r="BA35" s="33"/>
      <c r="BB35" s="33"/>
      <c r="BC35" s="33"/>
      <c r="BD35" s="33"/>
      <c r="BE35" s="33"/>
      <c r="BF35" s="33"/>
      <c r="BG35" s="33"/>
      <c r="BH35" s="33"/>
      <c r="BI35" s="33"/>
      <c r="BJ35" s="33"/>
      <c r="BK35" s="33"/>
      <c r="BL35" s="33"/>
      <c r="BM35" s="33"/>
    </row>
    <row r="36" spans="1:65" s="30" customFormat="1" ht="30" customHeight="1" thickBot="1" x14ac:dyDescent="0.25">
      <c r="A36" s="7"/>
      <c r="B36" s="44" t="s">
        <v>69</v>
      </c>
      <c r="C36" s="133" t="s">
        <v>70</v>
      </c>
      <c r="D36" s="45">
        <v>0</v>
      </c>
      <c r="E36" s="83">
        <v>1</v>
      </c>
      <c r="F36" s="76">
        <f>F35</f>
        <v>46275</v>
      </c>
      <c r="G36" s="76">
        <f>F36+E36-1</f>
        <v>46275</v>
      </c>
      <c r="H36" s="11"/>
      <c r="I36" s="5"/>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104"/>
      <c r="AO36" s="43"/>
      <c r="AP36" s="106"/>
      <c r="AQ36" s="33"/>
      <c r="AR36" s="33"/>
      <c r="AS36" s="33"/>
      <c r="AT36" s="33"/>
      <c r="AU36" s="33"/>
      <c r="AV36" s="33"/>
      <c r="AW36" s="33"/>
      <c r="AX36" s="33"/>
      <c r="AY36" s="33"/>
      <c r="AZ36" s="33"/>
      <c r="BA36" s="33"/>
      <c r="BB36" s="33"/>
      <c r="BC36" s="33"/>
      <c r="BD36" s="33"/>
      <c r="BE36" s="33"/>
      <c r="BF36" s="33"/>
      <c r="BG36" s="33"/>
      <c r="BH36" s="33"/>
      <c r="BI36" s="33"/>
      <c r="BJ36" s="33"/>
      <c r="BK36" s="33"/>
      <c r="BL36" s="33"/>
      <c r="BM36" s="33"/>
    </row>
    <row r="37" spans="1:65" s="30" customFormat="1" ht="30" customHeight="1" thickBot="1" x14ac:dyDescent="0.25">
      <c r="A37" s="7"/>
      <c r="B37" s="44" t="s">
        <v>71</v>
      </c>
      <c r="C37" s="133" t="s">
        <v>72</v>
      </c>
      <c r="D37" s="45">
        <v>0</v>
      </c>
      <c r="E37" s="83">
        <v>1</v>
      </c>
      <c r="F37" s="76">
        <f>G36+1</f>
        <v>46276</v>
      </c>
      <c r="G37" s="76">
        <f t="shared" ref="G37:G40" si="22">F37+E37-1</f>
        <v>46276</v>
      </c>
      <c r="H37" s="11"/>
      <c r="I37" s="5"/>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104"/>
      <c r="AO37" s="43"/>
      <c r="AP37" s="106"/>
      <c r="AQ37" s="33"/>
      <c r="AR37" s="33"/>
      <c r="AS37" s="33"/>
      <c r="AT37" s="33"/>
      <c r="AU37" s="33"/>
      <c r="AV37" s="33"/>
      <c r="AW37" s="33"/>
      <c r="AX37" s="33"/>
      <c r="AY37" s="33"/>
      <c r="AZ37" s="33"/>
      <c r="BA37" s="33"/>
      <c r="BB37" s="33"/>
      <c r="BC37" s="33"/>
      <c r="BD37" s="33"/>
      <c r="BE37" s="33"/>
      <c r="BF37" s="33"/>
      <c r="BG37" s="33"/>
      <c r="BH37" s="33"/>
      <c r="BI37" s="33"/>
      <c r="BJ37" s="33"/>
      <c r="BK37" s="33"/>
      <c r="BL37" s="33"/>
      <c r="BM37" s="33"/>
    </row>
    <row r="38" spans="1:65" s="30" customFormat="1" ht="30" customHeight="1" thickBot="1" x14ac:dyDescent="0.25">
      <c r="A38" s="7"/>
      <c r="B38" s="44" t="s">
        <v>73</v>
      </c>
      <c r="C38" s="133" t="s">
        <v>74</v>
      </c>
      <c r="D38" s="45">
        <v>0</v>
      </c>
      <c r="E38" s="83">
        <v>1</v>
      </c>
      <c r="F38" s="76">
        <f t="shared" ref="F38:F40" si="23">F37+1</f>
        <v>46277</v>
      </c>
      <c r="G38" s="76">
        <f t="shared" si="22"/>
        <v>46277</v>
      </c>
      <c r="H38" s="11"/>
      <c r="I38" s="5"/>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104"/>
      <c r="AO38" s="43"/>
      <c r="AP38" s="106"/>
      <c r="AQ38" s="33"/>
      <c r="AR38" s="33"/>
      <c r="AS38" s="33"/>
      <c r="AT38" s="33"/>
      <c r="AU38" s="33"/>
      <c r="AV38" s="33"/>
      <c r="AW38" s="33"/>
      <c r="AX38" s="33"/>
      <c r="AY38" s="33"/>
      <c r="AZ38" s="33"/>
      <c r="BA38" s="33"/>
      <c r="BB38" s="33"/>
      <c r="BC38" s="33"/>
      <c r="BD38" s="33"/>
      <c r="BE38" s="33"/>
      <c r="BF38" s="33"/>
      <c r="BG38" s="33"/>
      <c r="BH38" s="33"/>
      <c r="BI38" s="33"/>
      <c r="BJ38" s="33"/>
      <c r="BK38" s="33"/>
      <c r="BL38" s="33"/>
      <c r="BM38" s="33"/>
    </row>
    <row r="39" spans="1:65" s="30" customFormat="1" ht="30" customHeight="1" thickBot="1" x14ac:dyDescent="0.25">
      <c r="A39" s="7"/>
      <c r="B39" s="44" t="s">
        <v>75</v>
      </c>
      <c r="C39" s="133" t="s">
        <v>76</v>
      </c>
      <c r="D39" s="45">
        <v>0</v>
      </c>
      <c r="E39" s="83">
        <v>1</v>
      </c>
      <c r="F39" s="76">
        <f t="shared" si="23"/>
        <v>46278</v>
      </c>
      <c r="G39" s="76">
        <f t="shared" si="22"/>
        <v>46278</v>
      </c>
      <c r="H39" s="11"/>
      <c r="I39" s="5">
        <f t="shared" si="11"/>
        <v>1</v>
      </c>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104"/>
      <c r="AO39" s="43"/>
      <c r="AP39" s="106"/>
      <c r="AQ39" s="33"/>
      <c r="AR39" s="33"/>
      <c r="AS39" s="33"/>
      <c r="AT39" s="33"/>
      <c r="AU39" s="33"/>
      <c r="AV39" s="33"/>
      <c r="AW39" s="33"/>
      <c r="AX39" s="33"/>
      <c r="AY39" s="33"/>
      <c r="AZ39" s="33"/>
      <c r="BA39" s="33"/>
      <c r="BB39" s="33"/>
      <c r="BC39" s="33"/>
      <c r="BD39" s="33"/>
      <c r="BE39" s="33"/>
      <c r="BF39" s="33"/>
      <c r="BG39" s="33"/>
      <c r="BH39" s="33"/>
      <c r="BI39" s="33"/>
      <c r="BJ39" s="33"/>
      <c r="BK39" s="33"/>
      <c r="BL39" s="33"/>
      <c r="BM39" s="33"/>
    </row>
    <row r="40" spans="1:65" s="30" customFormat="1" ht="30" customHeight="1" thickBot="1" x14ac:dyDescent="0.25">
      <c r="A40" s="7"/>
      <c r="B40" s="44" t="s">
        <v>77</v>
      </c>
      <c r="C40" s="133" t="s">
        <v>22</v>
      </c>
      <c r="D40" s="45">
        <v>0</v>
      </c>
      <c r="E40" s="83">
        <v>1</v>
      </c>
      <c r="F40" s="76">
        <f t="shared" si="23"/>
        <v>46279</v>
      </c>
      <c r="G40" s="76">
        <f t="shared" si="22"/>
        <v>46279</v>
      </c>
      <c r="H40" s="11"/>
      <c r="I40" s="5"/>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104"/>
      <c r="AO40" s="43"/>
      <c r="AP40" s="106"/>
      <c r="AQ40" s="33"/>
      <c r="AR40" s="33"/>
      <c r="AS40" s="33"/>
      <c r="AT40" s="33"/>
      <c r="AU40" s="33"/>
      <c r="AV40" s="33"/>
      <c r="AW40" s="33"/>
      <c r="AX40" s="33"/>
      <c r="AY40" s="33"/>
      <c r="AZ40" s="33"/>
      <c r="BA40" s="33"/>
      <c r="BB40" s="33"/>
      <c r="BC40" s="33"/>
      <c r="BD40" s="33"/>
      <c r="BE40" s="33"/>
      <c r="BF40" s="33"/>
      <c r="BG40" s="33"/>
      <c r="BH40" s="33"/>
      <c r="BI40" s="33"/>
      <c r="BJ40" s="33"/>
      <c r="BK40" s="33"/>
      <c r="BL40" s="33"/>
      <c r="BM40" s="33"/>
    </row>
    <row r="41" spans="1:65" s="30" customFormat="1" ht="30" hidden="1" customHeight="1" outlineLevel="1" thickBot="1" x14ac:dyDescent="0.25">
      <c r="A41" s="7"/>
      <c r="B41" s="58"/>
      <c r="C41" s="59"/>
      <c r="D41" s="60"/>
      <c r="E41" s="99"/>
      <c r="F41" s="100"/>
      <c r="G41" s="100"/>
      <c r="H41" s="11"/>
      <c r="I41" s="5"/>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104"/>
      <c r="AO41" s="43"/>
      <c r="AP41" s="106"/>
      <c r="AQ41" s="33"/>
      <c r="AR41" s="33"/>
      <c r="AS41" s="33"/>
      <c r="AT41" s="33"/>
      <c r="AU41" s="33"/>
      <c r="AV41" s="33"/>
      <c r="AW41" s="33"/>
      <c r="AX41" s="33"/>
      <c r="AY41" s="33"/>
      <c r="AZ41" s="33"/>
      <c r="BA41" s="33"/>
      <c r="BB41" s="33"/>
      <c r="BC41" s="33"/>
      <c r="BD41" s="33"/>
      <c r="BE41" s="33"/>
      <c r="BF41" s="33"/>
      <c r="BG41" s="33"/>
      <c r="BH41" s="33"/>
      <c r="BI41" s="33"/>
      <c r="BJ41" s="33"/>
      <c r="BK41" s="33"/>
      <c r="BL41" s="33"/>
      <c r="BM41" s="33"/>
    </row>
    <row r="42" spans="1:65" s="30" customFormat="1" ht="30" hidden="1" customHeight="1" outlineLevel="1" thickBot="1" x14ac:dyDescent="0.25">
      <c r="A42" s="7"/>
      <c r="B42" s="58"/>
      <c r="C42" s="59"/>
      <c r="D42" s="60"/>
      <c r="E42" s="99"/>
      <c r="F42" s="100"/>
      <c r="G42" s="100"/>
      <c r="H42" s="11"/>
      <c r="I42" s="5"/>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104"/>
      <c r="AO42" s="43"/>
      <c r="AP42" s="106"/>
      <c r="AQ42" s="33"/>
      <c r="AR42" s="33"/>
      <c r="AS42" s="33"/>
      <c r="AT42" s="33"/>
      <c r="AU42" s="33"/>
      <c r="AV42" s="33"/>
      <c r="AW42" s="33"/>
      <c r="AX42" s="33"/>
      <c r="AY42" s="33"/>
      <c r="AZ42" s="33"/>
      <c r="BA42" s="33"/>
      <c r="BB42" s="33"/>
      <c r="BC42" s="33"/>
      <c r="BD42" s="33"/>
      <c r="BE42" s="33"/>
      <c r="BF42" s="33"/>
      <c r="BG42" s="33"/>
      <c r="BH42" s="33"/>
      <c r="BI42" s="33"/>
      <c r="BJ42" s="33"/>
      <c r="BK42" s="33"/>
      <c r="BL42" s="33"/>
      <c r="BM42" s="33"/>
    </row>
    <row r="43" spans="1:65" s="30" customFormat="1" ht="30" hidden="1" customHeight="1" outlineLevel="1" thickBot="1" x14ac:dyDescent="0.25">
      <c r="A43" s="7"/>
      <c r="B43" s="58"/>
      <c r="C43" s="59"/>
      <c r="D43" s="60"/>
      <c r="E43" s="99"/>
      <c r="F43" s="100"/>
      <c r="G43" s="100"/>
      <c r="H43" s="11"/>
      <c r="I43" s="5"/>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104"/>
      <c r="AO43" s="43"/>
      <c r="AP43" s="106"/>
      <c r="AQ43" s="33"/>
      <c r="AR43" s="33"/>
      <c r="AS43" s="33"/>
      <c r="AT43" s="33"/>
      <c r="AU43" s="33"/>
      <c r="AV43" s="33"/>
      <c r="AW43" s="33"/>
      <c r="AX43" s="33"/>
      <c r="AY43" s="33"/>
      <c r="AZ43" s="33"/>
      <c r="BA43" s="33"/>
      <c r="BB43" s="33"/>
      <c r="BC43" s="33"/>
      <c r="BD43" s="33"/>
      <c r="BE43" s="33"/>
      <c r="BF43" s="33"/>
      <c r="BG43" s="33"/>
      <c r="BH43" s="33"/>
      <c r="BI43" s="33"/>
      <c r="BJ43" s="33"/>
      <c r="BK43" s="33"/>
      <c r="BL43" s="33"/>
      <c r="BM43" s="33"/>
    </row>
    <row r="44" spans="1:65" s="30" customFormat="1" ht="30" customHeight="1" collapsed="1" thickBot="1" x14ac:dyDescent="0.25">
      <c r="A44" s="7"/>
      <c r="B44" s="61" t="s">
        <v>23</v>
      </c>
      <c r="C44" s="138" t="s">
        <v>24</v>
      </c>
      <c r="D44" s="139">
        <f>SUM(D45:D53)/COUNT(D45:D53)</f>
        <v>0</v>
      </c>
      <c r="E44" s="140">
        <f>+G44-F44</f>
        <v>1</v>
      </c>
      <c r="F44" s="141">
        <f>G35+1</f>
        <v>46280</v>
      </c>
      <c r="G44" s="114">
        <f>MAX(G45:G46)</f>
        <v>46281</v>
      </c>
      <c r="H44" s="11"/>
      <c r="I44" s="5"/>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104"/>
      <c r="AO44" s="43"/>
      <c r="AP44" s="106"/>
      <c r="AQ44" s="33"/>
      <c r="AR44" s="33"/>
      <c r="AS44" s="33"/>
      <c r="AT44" s="33"/>
      <c r="AU44" s="33"/>
      <c r="AV44" s="33"/>
      <c r="AW44" s="33"/>
      <c r="AX44" s="33"/>
      <c r="AY44" s="33"/>
      <c r="AZ44" s="33"/>
      <c r="BA44" s="33"/>
      <c r="BB44" s="33"/>
      <c r="BC44" s="33"/>
      <c r="BD44" s="33"/>
      <c r="BE44" s="33"/>
      <c r="BF44" s="33"/>
      <c r="BG44" s="33"/>
      <c r="BH44" s="33"/>
      <c r="BI44" s="33"/>
      <c r="BJ44" s="33"/>
      <c r="BK44" s="33"/>
      <c r="BL44" s="33"/>
      <c r="BM44" s="33"/>
    </row>
    <row r="45" spans="1:65" s="30" customFormat="1" ht="30" customHeight="1" thickBot="1" x14ac:dyDescent="0.25">
      <c r="A45" s="7"/>
      <c r="B45" s="62" t="s">
        <v>78</v>
      </c>
      <c r="C45" s="63" t="s">
        <v>79</v>
      </c>
      <c r="D45" s="64">
        <v>0</v>
      </c>
      <c r="E45" s="84">
        <v>1</v>
      </c>
      <c r="F45" s="77">
        <f>F44</f>
        <v>46280</v>
      </c>
      <c r="G45" s="77">
        <f>F45+E45-1</f>
        <v>46280</v>
      </c>
      <c r="H45" s="11"/>
      <c r="I45" s="5"/>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104"/>
      <c r="AO45" s="43"/>
      <c r="AP45" s="106"/>
      <c r="AQ45" s="33"/>
      <c r="AR45" s="33"/>
      <c r="AS45" s="33"/>
      <c r="AT45" s="33"/>
      <c r="AU45" s="33"/>
      <c r="AV45" s="33"/>
      <c r="AW45" s="33"/>
      <c r="AX45" s="33"/>
      <c r="AY45" s="33"/>
      <c r="AZ45" s="33"/>
      <c r="BA45" s="33"/>
      <c r="BB45" s="33"/>
      <c r="BC45" s="33"/>
      <c r="BD45" s="33"/>
      <c r="BE45" s="33"/>
      <c r="BF45" s="33"/>
      <c r="BG45" s="33"/>
      <c r="BH45" s="33"/>
      <c r="BI45" s="33"/>
      <c r="BJ45" s="33"/>
      <c r="BK45" s="33"/>
      <c r="BL45" s="33"/>
      <c r="BM45" s="33"/>
    </row>
    <row r="46" spans="1:65" s="30" customFormat="1" ht="30" customHeight="1" thickBot="1" x14ac:dyDescent="0.25">
      <c r="A46" s="7"/>
      <c r="B46" s="62" t="s">
        <v>80</v>
      </c>
      <c r="C46" s="63" t="s">
        <v>24</v>
      </c>
      <c r="D46" s="64">
        <v>0</v>
      </c>
      <c r="E46" s="84">
        <v>1</v>
      </c>
      <c r="F46" s="77">
        <f>G45+1</f>
        <v>46281</v>
      </c>
      <c r="G46" s="77">
        <f t="shared" ref="G46:G47" si="24">F46+E46-1</f>
        <v>46281</v>
      </c>
      <c r="H46" s="11"/>
      <c r="I46" s="5"/>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104"/>
      <c r="AO46" s="43"/>
      <c r="AP46" s="106"/>
      <c r="AQ46" s="33"/>
      <c r="AR46" s="33"/>
      <c r="AS46" s="33"/>
      <c r="AT46" s="33"/>
      <c r="AU46" s="33"/>
      <c r="AV46" s="33"/>
      <c r="AW46" s="33"/>
      <c r="AX46" s="33"/>
      <c r="AY46" s="33"/>
      <c r="AZ46" s="33"/>
      <c r="BA46" s="33"/>
      <c r="BB46" s="33"/>
      <c r="BC46" s="33"/>
      <c r="BD46" s="33"/>
      <c r="BE46" s="33"/>
      <c r="BF46" s="33"/>
      <c r="BG46" s="33"/>
      <c r="BH46" s="33"/>
      <c r="BI46" s="33"/>
      <c r="BJ46" s="33"/>
      <c r="BK46" s="33"/>
      <c r="BL46" s="33"/>
      <c r="BM46" s="33"/>
    </row>
    <row r="47" spans="1:65" s="30" customFormat="1" ht="30" customHeight="1" thickBot="1" x14ac:dyDescent="0.25">
      <c r="A47" s="7"/>
      <c r="B47" s="142" t="s">
        <v>81</v>
      </c>
      <c r="C47" s="143" t="s">
        <v>26</v>
      </c>
      <c r="D47" s="144">
        <v>0</v>
      </c>
      <c r="E47" s="145">
        <v>1</v>
      </c>
      <c r="F47" s="146">
        <f t="shared" ref="F47" si="25">F46+1</f>
        <v>46282</v>
      </c>
      <c r="G47" s="146">
        <f t="shared" si="24"/>
        <v>46282</v>
      </c>
      <c r="H47" s="11"/>
      <c r="I47" s="5"/>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104"/>
      <c r="AO47" s="43"/>
      <c r="AP47" s="106"/>
      <c r="AQ47" s="33"/>
      <c r="AR47" s="33"/>
      <c r="AS47" s="33"/>
      <c r="AT47" s="33"/>
      <c r="AU47" s="33"/>
      <c r="AV47" s="33"/>
      <c r="AW47" s="33"/>
      <c r="AX47" s="33"/>
      <c r="AY47" s="33"/>
      <c r="AZ47" s="33"/>
      <c r="BA47" s="33"/>
      <c r="BB47" s="33"/>
      <c r="BC47" s="33"/>
      <c r="BD47" s="33"/>
      <c r="BE47" s="33"/>
      <c r="BF47" s="33"/>
      <c r="BG47" s="33"/>
      <c r="BH47" s="33"/>
      <c r="BI47" s="33"/>
      <c r="BJ47" s="33"/>
      <c r="BK47" s="33"/>
      <c r="BL47" s="33"/>
      <c r="BM47" s="33"/>
    </row>
    <row r="48" spans="1:65" s="30" customFormat="1" ht="30" hidden="1" customHeight="1" outlineLevel="1" thickBot="1" x14ac:dyDescent="0.25">
      <c r="A48" s="7"/>
      <c r="B48" s="101"/>
      <c r="C48" s="63"/>
      <c r="D48" s="64"/>
      <c r="E48" s="84"/>
      <c r="F48" s="77"/>
      <c r="G48" s="77"/>
      <c r="H48" s="11"/>
      <c r="I48" s="5"/>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row>
    <row r="49" spans="1:65" s="30" customFormat="1" ht="30" hidden="1" customHeight="1" outlineLevel="1" thickBot="1" x14ac:dyDescent="0.25">
      <c r="A49" s="7"/>
      <c r="B49" s="101"/>
      <c r="C49" s="63"/>
      <c r="D49" s="64"/>
      <c r="E49" s="84"/>
      <c r="F49" s="77"/>
      <c r="G49" s="77"/>
      <c r="H49" s="11"/>
      <c r="I49" s="5"/>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row>
    <row r="50" spans="1:65" s="30" customFormat="1" ht="30" hidden="1" customHeight="1" outlineLevel="1" thickBot="1" x14ac:dyDescent="0.25">
      <c r="A50" s="7"/>
      <c r="B50" s="101"/>
      <c r="C50" s="63"/>
      <c r="D50" s="64"/>
      <c r="E50" s="84"/>
      <c r="F50" s="77"/>
      <c r="G50" s="77"/>
      <c r="H50" s="11"/>
      <c r="I50" s="5"/>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row>
    <row r="51" spans="1:65" s="30" customFormat="1" ht="30" hidden="1" customHeight="1" outlineLevel="1" thickBot="1" x14ac:dyDescent="0.25">
      <c r="A51" s="7"/>
      <c r="B51" s="101"/>
      <c r="C51" s="63"/>
      <c r="D51" s="64"/>
      <c r="E51" s="84"/>
      <c r="F51" s="77"/>
      <c r="G51" s="77"/>
      <c r="H51" s="11"/>
      <c r="I51" s="5"/>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row>
    <row r="52" spans="1:65" s="30" customFormat="1" ht="30" hidden="1" customHeight="1" outlineLevel="1" thickBot="1" x14ac:dyDescent="0.25">
      <c r="A52" s="7"/>
      <c r="B52" s="62"/>
      <c r="C52" s="63"/>
      <c r="D52" s="64"/>
      <c r="E52" s="84"/>
      <c r="F52" s="77"/>
      <c r="G52" s="77"/>
      <c r="H52" s="11"/>
      <c r="I52" s="5"/>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row>
    <row r="53" spans="1:65" s="30" customFormat="1" ht="30" customHeight="1" collapsed="1" thickBot="1" x14ac:dyDescent="0.25">
      <c r="A53" s="7"/>
      <c r="B53" s="46"/>
      <c r="C53" s="47"/>
      <c r="D53" s="48"/>
      <c r="E53" s="85"/>
      <c r="F53" s="49"/>
      <c r="G53" s="49"/>
      <c r="H53" s="11"/>
      <c r="I53" s="5" t="str">
        <f t="shared" si="11"/>
        <v/>
      </c>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row>
    <row r="54" spans="1:65" s="30" customFormat="1" ht="30" customHeight="1" thickBot="1" x14ac:dyDescent="0.25">
      <c r="A54" s="8"/>
      <c r="B54" s="50" t="s">
        <v>0</v>
      </c>
      <c r="C54" s="51"/>
      <c r="D54" s="52"/>
      <c r="E54" s="86"/>
      <c r="F54" s="53"/>
      <c r="G54" s="54"/>
      <c r="H54" s="11"/>
      <c r="I54" s="6" t="str">
        <f t="shared" si="11"/>
        <v/>
      </c>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row>
    <row r="55" spans="1:65" ht="30" customHeight="1" x14ac:dyDescent="0.2">
      <c r="H55" s="3"/>
    </row>
    <row r="56" spans="1:65" ht="30" customHeight="1" x14ac:dyDescent="0.25">
      <c r="C56" s="10"/>
      <c r="G56" s="9"/>
    </row>
    <row r="57" spans="1:65" ht="30" customHeight="1" x14ac:dyDescent="0.2">
      <c r="C57" s="4"/>
    </row>
  </sheetData>
  <mergeCells count="21">
    <mergeCell ref="B3:C3"/>
    <mergeCell ref="D1:F1"/>
    <mergeCell ref="A5:A6"/>
    <mergeCell ref="B5:B6"/>
    <mergeCell ref="C5:C6"/>
    <mergeCell ref="D5:D6"/>
    <mergeCell ref="F5:F6"/>
    <mergeCell ref="E5:E6"/>
    <mergeCell ref="G5:G6"/>
    <mergeCell ref="R2:AA2"/>
    <mergeCell ref="R1:AA1"/>
    <mergeCell ref="J1:P1"/>
    <mergeCell ref="J2:P2"/>
    <mergeCell ref="BG4:BM4"/>
    <mergeCell ref="J4:P4"/>
    <mergeCell ref="Q4:W4"/>
    <mergeCell ref="X4:AD4"/>
    <mergeCell ref="AE4:AK4"/>
    <mergeCell ref="AL4:AR4"/>
    <mergeCell ref="AS4:AY4"/>
    <mergeCell ref="AZ4:BF4"/>
  </mergeCells>
  <conditionalFormatting sqref="D8:D53">
    <cfRule type="dataBar" priority="2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J4:BM52">
    <cfRule type="expression" dxfId="11" priority="1">
      <formula>AND(TODAY()&gt;=J$5, TODAY()&lt;K$5)</formula>
    </cfRule>
    <cfRule type="expression" dxfId="10" priority="4">
      <formula>AND($F$3&gt;=J$5, $F$3&lt;K$5)</formula>
    </cfRule>
  </conditionalFormatting>
  <conditionalFormatting sqref="J8:BM16">
    <cfRule type="expression" dxfId="9" priority="9">
      <formula>AND(task_start&lt;=J$5,ROUNDDOWN((task_end-task_start+1)*task_progress,0)+task_start-1&gt;=J$5)</formula>
    </cfRule>
    <cfRule type="expression" dxfId="8" priority="10" stopIfTrue="1">
      <formula>AND(task_end&gt;=J$5,task_start&lt;K$5)</formula>
    </cfRule>
  </conditionalFormatting>
  <conditionalFormatting sqref="J17:BM25">
    <cfRule type="expression" dxfId="7" priority="7">
      <formula>AND(task_start&lt;=J$5,ROUNDDOWN((task_end-task_start+1)*task_progress,0)+task_start-1&gt;=J$5)</formula>
    </cfRule>
    <cfRule type="expression" dxfId="6" priority="8" stopIfTrue="1">
      <formula>AND(task_end&gt;=J$5,task_start&lt;K$5)</formula>
    </cfRule>
  </conditionalFormatting>
  <conditionalFormatting sqref="J26:BM34">
    <cfRule type="expression" dxfId="5" priority="5">
      <formula>AND(task_start&lt;=J$5,ROUNDDOWN((task_end-task_start+1)*task_progress,0)+task_start-1&gt;=J$5)</formula>
    </cfRule>
    <cfRule type="expression" dxfId="4" priority="6" stopIfTrue="1">
      <formula>AND(task_end&gt;=J$5,task_start&lt;K$5)</formula>
    </cfRule>
  </conditionalFormatting>
  <conditionalFormatting sqref="J35:BM43">
    <cfRule type="expression" dxfId="3" priority="39">
      <formula>AND(task_start&lt;=J$5,ROUNDDOWN((task_end-task_start+1)*task_progress,0)+task_start-1&gt;=J$5)</formula>
    </cfRule>
    <cfRule type="expression" dxfId="2" priority="40" stopIfTrue="1">
      <formula>AND(task_end&gt;=J$5,task_start&lt;K$5)</formula>
    </cfRule>
  </conditionalFormatting>
  <conditionalFormatting sqref="J44:BM52">
    <cfRule type="expression" dxfId="1" priority="2">
      <formula>AND(task_start&lt;=J$5,ROUNDDOWN((task_end-task_start+1)*task_progress,0)+task_start-1&gt;=J$5)</formula>
    </cfRule>
    <cfRule type="expression" dxfId="0" priority="3" stopIfTrue="1">
      <formula>AND(task_end&gt;=J$5,task_start&lt;K$5)</formula>
    </cfRule>
  </conditionalFormatting>
  <dataValidations count="9">
    <dataValidation type="whole" operator="greaterThanOrEqual" allowBlank="1" showInputMessage="1" promptTitle="Display Week" prompt="Changing this number will scroll the Gantt Chart view." sqref="R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8:A11"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2" xr:uid="{872449A7-C3CC-45B6-BA90-B1AAD66BA0E5}"/>
    <dataValidation allowBlank="1" showInputMessage="1" showErrorMessage="1" prompt="This row marks the end of the Project Schedule. DO NOT enter anything in this row. _x000a_Insert new rows ABOVE this one to continue building out your Project Schedule." sqref="A54" xr:uid="{79B9237E-4DD3-4E0F-8ED6-E0B695A99D96}"/>
  </dataValidations>
  <printOptions horizontalCentered="1"/>
  <pageMargins left="0.35" right="0.35" top="0.35" bottom="0.5" header="0.3" footer="0.3"/>
  <pageSetup scale="4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D8:D53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1D3A8-2801-41BD-B106-E2B8F9D2FC77}">
  <dimension ref="A1:K97"/>
  <sheetViews>
    <sheetView topLeftCell="A11" workbookViewId="0">
      <selection activeCell="C37" sqref="C37:C39"/>
    </sheetView>
  </sheetViews>
  <sheetFormatPr defaultRowHeight="14.25" x14ac:dyDescent="0.2"/>
  <cols>
    <col min="1" max="1" width="25.75" bestFit="1" customWidth="1"/>
    <col min="2" max="2" width="34.25" bestFit="1" customWidth="1"/>
    <col min="3" max="3" width="9.875" bestFit="1" customWidth="1"/>
    <col min="5" max="5" width="10" bestFit="1" customWidth="1"/>
    <col min="6" max="6" width="18.5" bestFit="1" customWidth="1"/>
    <col min="9" max="9" width="36.375" style="25" bestFit="1" customWidth="1"/>
    <col min="10" max="10" width="29.25" customWidth="1"/>
    <col min="11" max="11" width="4.25" bestFit="1" customWidth="1"/>
  </cols>
  <sheetData>
    <row r="1" spans="1:11" x14ac:dyDescent="0.2">
      <c r="A1" t="s">
        <v>8</v>
      </c>
      <c r="B1" t="s">
        <v>9</v>
      </c>
      <c r="C1" t="s">
        <v>10</v>
      </c>
      <c r="D1" t="s">
        <v>11</v>
      </c>
      <c r="E1" t="s">
        <v>12</v>
      </c>
      <c r="F1" t="s">
        <v>13</v>
      </c>
      <c r="I1" s="68" t="s">
        <v>82</v>
      </c>
    </row>
    <row r="2" spans="1:11" x14ac:dyDescent="0.2">
      <c r="A2" t="s">
        <v>14</v>
      </c>
      <c r="B2" s="57">
        <v>46254</v>
      </c>
      <c r="C2" s="57">
        <v>46260</v>
      </c>
      <c r="D2">
        <v>7</v>
      </c>
      <c r="E2" t="s">
        <v>15</v>
      </c>
      <c r="F2" t="s">
        <v>16</v>
      </c>
    </row>
    <row r="3" spans="1:11" ht="15" x14ac:dyDescent="0.2">
      <c r="A3" t="s">
        <v>17</v>
      </c>
      <c r="B3" s="57">
        <v>46261</v>
      </c>
      <c r="C3" s="57">
        <v>46267</v>
      </c>
      <c r="D3">
        <v>7</v>
      </c>
      <c r="E3" t="s">
        <v>15</v>
      </c>
      <c r="F3" t="s">
        <v>18</v>
      </c>
      <c r="I3" s="69" t="s">
        <v>83</v>
      </c>
      <c r="J3" s="65" t="s">
        <v>8</v>
      </c>
      <c r="K3" s="65" t="s">
        <v>84</v>
      </c>
    </row>
    <row r="4" spans="1:11" x14ac:dyDescent="0.2">
      <c r="A4" t="s">
        <v>19</v>
      </c>
      <c r="B4" s="57">
        <v>46268</v>
      </c>
      <c r="C4" s="57">
        <v>46274</v>
      </c>
      <c r="D4">
        <v>7</v>
      </c>
      <c r="E4" t="s">
        <v>15</v>
      </c>
      <c r="F4" t="s">
        <v>20</v>
      </c>
      <c r="I4" s="70">
        <v>1.1000000000000001</v>
      </c>
      <c r="J4" s="66" t="s">
        <v>85</v>
      </c>
      <c r="K4" s="66" t="s">
        <v>86</v>
      </c>
    </row>
    <row r="5" spans="1:11" ht="28.5" x14ac:dyDescent="0.2">
      <c r="A5" t="s">
        <v>21</v>
      </c>
      <c r="B5" s="57">
        <v>46275</v>
      </c>
      <c r="C5" s="57">
        <v>46279</v>
      </c>
      <c r="D5">
        <v>5</v>
      </c>
      <c r="E5" t="s">
        <v>15</v>
      </c>
      <c r="F5" t="s">
        <v>22</v>
      </c>
      <c r="I5" s="70">
        <v>1.2</v>
      </c>
      <c r="J5" s="66" t="s">
        <v>87</v>
      </c>
      <c r="K5" s="66" t="s">
        <v>88</v>
      </c>
    </row>
    <row r="6" spans="1:11" ht="28.5" x14ac:dyDescent="0.2">
      <c r="A6" t="s">
        <v>23</v>
      </c>
      <c r="B6" s="57">
        <v>46280</v>
      </c>
      <c r="C6" s="57">
        <v>46281</v>
      </c>
      <c r="D6">
        <v>2</v>
      </c>
      <c r="E6" t="s">
        <v>15</v>
      </c>
      <c r="F6" t="s">
        <v>24</v>
      </c>
      <c r="I6" s="70">
        <v>1.3</v>
      </c>
      <c r="J6" s="66" t="s">
        <v>89</v>
      </c>
      <c r="K6" s="66" t="s">
        <v>90</v>
      </c>
    </row>
    <row r="7" spans="1:11" ht="28.5" x14ac:dyDescent="0.2">
      <c r="A7" t="s">
        <v>25</v>
      </c>
      <c r="B7" s="57">
        <v>46282</v>
      </c>
      <c r="C7" s="57">
        <v>46282</v>
      </c>
      <c r="D7">
        <v>1</v>
      </c>
      <c r="E7" t="s">
        <v>15</v>
      </c>
      <c r="F7" t="s">
        <v>26</v>
      </c>
      <c r="I7" s="70">
        <v>1.4</v>
      </c>
      <c r="J7" s="66" t="s">
        <v>91</v>
      </c>
      <c r="K7" s="66" t="s">
        <v>90</v>
      </c>
    </row>
    <row r="8" spans="1:11" x14ac:dyDescent="0.2">
      <c r="I8" s="70">
        <v>1.5</v>
      </c>
      <c r="J8" s="66" t="s">
        <v>92</v>
      </c>
      <c r="K8" s="66" t="s">
        <v>86</v>
      </c>
    </row>
    <row r="9" spans="1:11" x14ac:dyDescent="0.2">
      <c r="I9" s="70">
        <v>1.6</v>
      </c>
      <c r="J9" s="66" t="s">
        <v>93</v>
      </c>
      <c r="K9" s="66" t="s">
        <v>86</v>
      </c>
    </row>
    <row r="10" spans="1:11" x14ac:dyDescent="0.2">
      <c r="A10" t="s">
        <v>27</v>
      </c>
      <c r="B10" t="s">
        <v>28</v>
      </c>
      <c r="C10" t="s">
        <v>29</v>
      </c>
      <c r="I10" s="70">
        <v>1.7</v>
      </c>
      <c r="J10" s="66" t="s">
        <v>94</v>
      </c>
      <c r="K10" s="66" t="s">
        <v>86</v>
      </c>
    </row>
    <row r="11" spans="1:11" x14ac:dyDescent="0.2">
      <c r="A11" s="71">
        <v>46254</v>
      </c>
      <c r="B11" t="s">
        <v>30</v>
      </c>
      <c r="C11" t="s">
        <v>31</v>
      </c>
      <c r="I11" s="70">
        <v>1.8</v>
      </c>
      <c r="J11" s="66" t="s">
        <v>95</v>
      </c>
      <c r="K11" s="66" t="s">
        <v>90</v>
      </c>
    </row>
    <row r="12" spans="1:11" ht="28.5" x14ac:dyDescent="0.2">
      <c r="A12" s="71">
        <v>46255</v>
      </c>
      <c r="B12" t="s">
        <v>32</v>
      </c>
      <c r="C12" t="s">
        <v>33</v>
      </c>
      <c r="I12" s="70">
        <v>1.9</v>
      </c>
      <c r="J12" s="66" t="s">
        <v>96</v>
      </c>
      <c r="K12" s="66" t="s">
        <v>86</v>
      </c>
    </row>
    <row r="13" spans="1:11" ht="15" x14ac:dyDescent="0.2">
      <c r="A13" s="71">
        <v>46256</v>
      </c>
      <c r="B13" t="s">
        <v>34</v>
      </c>
      <c r="C13" t="s">
        <v>35</v>
      </c>
      <c r="I13" s="70" t="s">
        <v>97</v>
      </c>
      <c r="J13" s="67" t="s">
        <v>98</v>
      </c>
      <c r="K13" s="66"/>
    </row>
    <row r="14" spans="1:11" x14ac:dyDescent="0.2">
      <c r="A14" s="71">
        <v>46257</v>
      </c>
      <c r="B14" t="s">
        <v>36</v>
      </c>
      <c r="C14" t="s">
        <v>37</v>
      </c>
    </row>
    <row r="15" spans="1:11" x14ac:dyDescent="0.2">
      <c r="A15" s="71">
        <v>46258</v>
      </c>
      <c r="B15" t="s">
        <v>38</v>
      </c>
      <c r="C15" t="s">
        <v>39</v>
      </c>
      <c r="I15" s="25" t="s">
        <v>99</v>
      </c>
    </row>
    <row r="16" spans="1:11" x14ac:dyDescent="0.2">
      <c r="A16" s="71">
        <v>46259</v>
      </c>
      <c r="B16" t="s">
        <v>40</v>
      </c>
      <c r="C16" t="s">
        <v>41</v>
      </c>
    </row>
    <row r="17" spans="1:11" x14ac:dyDescent="0.2">
      <c r="A17" s="71">
        <v>46260</v>
      </c>
      <c r="B17" t="s">
        <v>42</v>
      </c>
      <c r="C17" t="s">
        <v>16</v>
      </c>
    </row>
    <row r="18" spans="1:11" x14ac:dyDescent="0.2">
      <c r="A18" s="71">
        <v>46261</v>
      </c>
      <c r="B18" t="s">
        <v>43</v>
      </c>
      <c r="C18" t="s">
        <v>44</v>
      </c>
    </row>
    <row r="19" spans="1:11" x14ac:dyDescent="0.2">
      <c r="A19" s="71">
        <v>46262</v>
      </c>
      <c r="B19" t="s">
        <v>45</v>
      </c>
      <c r="C19" t="s">
        <v>46</v>
      </c>
      <c r="I19" s="68" t="s">
        <v>100</v>
      </c>
    </row>
    <row r="20" spans="1:11" x14ac:dyDescent="0.2">
      <c r="A20" s="71">
        <v>46263</v>
      </c>
      <c r="B20" t="s">
        <v>47</v>
      </c>
      <c r="C20" t="s">
        <v>48</v>
      </c>
    </row>
    <row r="21" spans="1:11" ht="15" x14ac:dyDescent="0.2">
      <c r="A21" s="71">
        <v>46264</v>
      </c>
      <c r="B21" t="s">
        <v>49</v>
      </c>
      <c r="C21" t="s">
        <v>50</v>
      </c>
      <c r="I21" s="69" t="s">
        <v>83</v>
      </c>
      <c r="J21" s="65" t="s">
        <v>8</v>
      </c>
      <c r="K21" s="65" t="s">
        <v>84</v>
      </c>
    </row>
    <row r="22" spans="1:11" x14ac:dyDescent="0.2">
      <c r="A22" s="71">
        <v>46265</v>
      </c>
      <c r="B22" t="s">
        <v>51</v>
      </c>
      <c r="C22" t="s">
        <v>52</v>
      </c>
      <c r="I22" s="70">
        <v>2.1</v>
      </c>
      <c r="J22" s="66" t="s">
        <v>101</v>
      </c>
      <c r="K22" s="66" t="s">
        <v>88</v>
      </c>
    </row>
    <row r="23" spans="1:11" x14ac:dyDescent="0.2">
      <c r="A23" s="71">
        <v>46266</v>
      </c>
      <c r="B23" t="s">
        <v>53</v>
      </c>
      <c r="C23" t="s">
        <v>54</v>
      </c>
      <c r="I23" s="70">
        <v>2.2000000000000002</v>
      </c>
      <c r="J23" s="66" t="s">
        <v>102</v>
      </c>
      <c r="K23" s="66" t="s">
        <v>86</v>
      </c>
    </row>
    <row r="24" spans="1:11" ht="28.5" x14ac:dyDescent="0.2">
      <c r="A24" s="71">
        <v>46267</v>
      </c>
      <c r="B24" t="s">
        <v>55</v>
      </c>
      <c r="C24" t="s">
        <v>18</v>
      </c>
      <c r="I24" s="70">
        <v>2.2999999999999998</v>
      </c>
      <c r="J24" s="66" t="s">
        <v>103</v>
      </c>
      <c r="K24" s="66" t="s">
        <v>90</v>
      </c>
    </row>
    <row r="25" spans="1:11" x14ac:dyDescent="0.2">
      <c r="A25" s="71">
        <v>46268</v>
      </c>
      <c r="B25" t="s">
        <v>56</v>
      </c>
      <c r="C25" t="s">
        <v>57</v>
      </c>
      <c r="I25" s="70">
        <v>2.4</v>
      </c>
      <c r="J25" s="66" t="s">
        <v>104</v>
      </c>
      <c r="K25" s="66" t="s">
        <v>88</v>
      </c>
    </row>
    <row r="26" spans="1:11" x14ac:dyDescent="0.2">
      <c r="A26" s="71">
        <v>46269</v>
      </c>
      <c r="B26" t="s">
        <v>58</v>
      </c>
      <c r="C26" t="s">
        <v>59</v>
      </c>
      <c r="I26" s="70">
        <v>2.5</v>
      </c>
      <c r="J26" s="66" t="s">
        <v>105</v>
      </c>
      <c r="K26" s="66" t="s">
        <v>88</v>
      </c>
    </row>
    <row r="27" spans="1:11" x14ac:dyDescent="0.2">
      <c r="A27" s="71">
        <v>46270</v>
      </c>
      <c r="B27" t="s">
        <v>60</v>
      </c>
      <c r="C27" t="s">
        <v>61</v>
      </c>
      <c r="I27" s="70">
        <v>2.6</v>
      </c>
      <c r="J27" s="66" t="s">
        <v>106</v>
      </c>
      <c r="K27" s="66" t="s">
        <v>88</v>
      </c>
    </row>
    <row r="28" spans="1:11" x14ac:dyDescent="0.2">
      <c r="A28" s="71">
        <v>46271</v>
      </c>
      <c r="B28" t="s">
        <v>62</v>
      </c>
      <c r="C28" t="s">
        <v>63</v>
      </c>
      <c r="I28" s="70">
        <v>2.7</v>
      </c>
      <c r="J28" s="66" t="s">
        <v>107</v>
      </c>
      <c r="K28" s="66" t="s">
        <v>88</v>
      </c>
    </row>
    <row r="29" spans="1:11" ht="28.5" x14ac:dyDescent="0.2">
      <c r="A29" s="71">
        <v>46272</v>
      </c>
      <c r="B29" t="s">
        <v>64</v>
      </c>
      <c r="C29" t="s">
        <v>65</v>
      </c>
      <c r="I29" s="70">
        <v>2.8</v>
      </c>
      <c r="J29" s="66" t="s">
        <v>108</v>
      </c>
      <c r="K29" s="66" t="s">
        <v>88</v>
      </c>
    </row>
    <row r="30" spans="1:11" x14ac:dyDescent="0.2">
      <c r="A30" s="71">
        <v>46273</v>
      </c>
      <c r="B30" t="s">
        <v>66</v>
      </c>
      <c r="C30" t="s">
        <v>67</v>
      </c>
      <c r="I30" s="70">
        <v>2.9</v>
      </c>
      <c r="J30" s="66" t="s">
        <v>109</v>
      </c>
      <c r="K30" s="66" t="s">
        <v>110</v>
      </c>
    </row>
    <row r="31" spans="1:11" x14ac:dyDescent="0.2">
      <c r="A31" s="71">
        <v>46274</v>
      </c>
      <c r="B31" t="s">
        <v>68</v>
      </c>
      <c r="C31" t="s">
        <v>20</v>
      </c>
      <c r="I31" s="70">
        <v>2.1</v>
      </c>
      <c r="J31" s="66" t="s">
        <v>111</v>
      </c>
      <c r="K31" s="66" t="s">
        <v>88</v>
      </c>
    </row>
    <row r="32" spans="1:11" x14ac:dyDescent="0.2">
      <c r="A32" s="71">
        <v>46275</v>
      </c>
      <c r="B32" t="s">
        <v>69</v>
      </c>
      <c r="C32" t="s">
        <v>70</v>
      </c>
      <c r="I32" s="70">
        <v>2.11</v>
      </c>
      <c r="J32" s="66" t="s">
        <v>112</v>
      </c>
      <c r="K32" s="66" t="s">
        <v>88</v>
      </c>
    </row>
    <row r="33" spans="1:11" ht="15" x14ac:dyDescent="0.2">
      <c r="A33" s="71">
        <v>46276</v>
      </c>
      <c r="B33" t="s">
        <v>71</v>
      </c>
      <c r="C33" t="s">
        <v>72</v>
      </c>
      <c r="I33" s="70" t="s">
        <v>113</v>
      </c>
      <c r="J33" s="67" t="s">
        <v>114</v>
      </c>
      <c r="K33" s="66"/>
    </row>
    <row r="34" spans="1:11" x14ac:dyDescent="0.2">
      <c r="A34" s="71">
        <v>46277</v>
      </c>
      <c r="B34" t="s">
        <v>73</v>
      </c>
      <c r="C34" t="s">
        <v>74</v>
      </c>
    </row>
    <row r="35" spans="1:11" x14ac:dyDescent="0.2">
      <c r="A35" s="71">
        <v>46278</v>
      </c>
      <c r="B35" t="s">
        <v>75</v>
      </c>
      <c r="C35" t="s">
        <v>76</v>
      </c>
      <c r="I35" s="25" t="s">
        <v>115</v>
      </c>
    </row>
    <row r="36" spans="1:11" x14ac:dyDescent="0.2">
      <c r="A36" s="71">
        <v>46279</v>
      </c>
      <c r="B36" t="s">
        <v>77</v>
      </c>
      <c r="C36" t="s">
        <v>22</v>
      </c>
    </row>
    <row r="37" spans="1:11" x14ac:dyDescent="0.2">
      <c r="A37" s="71">
        <v>46280</v>
      </c>
      <c r="B37" t="s">
        <v>78</v>
      </c>
      <c r="C37" t="s">
        <v>79</v>
      </c>
    </row>
    <row r="38" spans="1:11" x14ac:dyDescent="0.2">
      <c r="A38" s="71">
        <v>46281</v>
      </c>
      <c r="B38" t="s">
        <v>80</v>
      </c>
      <c r="C38" t="s">
        <v>24</v>
      </c>
    </row>
    <row r="39" spans="1:11" x14ac:dyDescent="0.2">
      <c r="A39" s="71">
        <v>46282</v>
      </c>
      <c r="B39" t="s">
        <v>81</v>
      </c>
      <c r="C39" t="s">
        <v>26</v>
      </c>
      <c r="I39" s="68" t="s">
        <v>116</v>
      </c>
    </row>
    <row r="41" spans="1:11" ht="15" x14ac:dyDescent="0.2">
      <c r="I41" s="69" t="s">
        <v>83</v>
      </c>
      <c r="J41" s="65" t="s">
        <v>8</v>
      </c>
      <c r="K41" s="65" t="s">
        <v>84</v>
      </c>
    </row>
    <row r="42" spans="1:11" x14ac:dyDescent="0.2">
      <c r="I42" s="70">
        <v>3.1</v>
      </c>
      <c r="J42" s="66" t="s">
        <v>117</v>
      </c>
      <c r="K42" s="66" t="s">
        <v>86</v>
      </c>
    </row>
    <row r="43" spans="1:11" x14ac:dyDescent="0.2">
      <c r="I43" s="70">
        <v>3.2</v>
      </c>
      <c r="J43" s="66" t="s">
        <v>118</v>
      </c>
      <c r="K43" s="66" t="s">
        <v>90</v>
      </c>
    </row>
    <row r="44" spans="1:11" x14ac:dyDescent="0.2">
      <c r="I44" s="70">
        <v>3.3</v>
      </c>
      <c r="J44" s="66" t="s">
        <v>119</v>
      </c>
      <c r="K44" s="66" t="s">
        <v>90</v>
      </c>
    </row>
    <row r="45" spans="1:11" x14ac:dyDescent="0.2">
      <c r="I45" s="70">
        <v>3.4</v>
      </c>
      <c r="J45" s="66" t="s">
        <v>120</v>
      </c>
      <c r="K45" s="66" t="s">
        <v>90</v>
      </c>
    </row>
    <row r="46" spans="1:11" x14ac:dyDescent="0.2">
      <c r="I46" s="70">
        <v>3.5</v>
      </c>
      <c r="J46" s="66" t="s">
        <v>121</v>
      </c>
      <c r="K46" s="66" t="s">
        <v>88</v>
      </c>
    </row>
    <row r="47" spans="1:11" x14ac:dyDescent="0.2">
      <c r="I47" s="70">
        <v>3.6</v>
      </c>
      <c r="J47" s="66" t="s">
        <v>122</v>
      </c>
      <c r="K47" s="66" t="s">
        <v>88</v>
      </c>
    </row>
    <row r="48" spans="1:11" x14ac:dyDescent="0.2">
      <c r="I48" s="70">
        <v>3.7</v>
      </c>
      <c r="J48" s="66" t="s">
        <v>64</v>
      </c>
      <c r="K48" s="66" t="s">
        <v>110</v>
      </c>
    </row>
    <row r="49" spans="9:11" x14ac:dyDescent="0.2">
      <c r="I49" s="70">
        <v>3.8</v>
      </c>
      <c r="J49" s="66" t="s">
        <v>66</v>
      </c>
      <c r="K49" s="66" t="s">
        <v>90</v>
      </c>
    </row>
    <row r="50" spans="9:11" ht="28.5" x14ac:dyDescent="0.2">
      <c r="I50" s="70">
        <v>3.9</v>
      </c>
      <c r="J50" s="66" t="s">
        <v>123</v>
      </c>
      <c r="K50" s="66" t="s">
        <v>110</v>
      </c>
    </row>
    <row r="51" spans="9:11" x14ac:dyDescent="0.2">
      <c r="I51" s="70">
        <v>3.1</v>
      </c>
      <c r="J51" s="66" t="s">
        <v>68</v>
      </c>
      <c r="K51" s="66" t="s">
        <v>86</v>
      </c>
    </row>
    <row r="52" spans="9:11" ht="15" x14ac:dyDescent="0.2">
      <c r="I52" s="70" t="s">
        <v>124</v>
      </c>
      <c r="J52" s="67" t="s">
        <v>125</v>
      </c>
      <c r="K52" s="66"/>
    </row>
    <row r="54" spans="9:11" x14ac:dyDescent="0.2">
      <c r="I54" s="25" t="s">
        <v>126</v>
      </c>
    </row>
    <row r="58" spans="9:11" x14ac:dyDescent="0.2">
      <c r="I58" s="68" t="s">
        <v>127</v>
      </c>
    </row>
    <row r="60" spans="9:11" ht="15" x14ac:dyDescent="0.2">
      <c r="I60" s="69" t="s">
        <v>83</v>
      </c>
      <c r="J60" s="65" t="s">
        <v>8</v>
      </c>
      <c r="K60" s="65" t="s">
        <v>84</v>
      </c>
    </row>
    <row r="61" spans="9:11" x14ac:dyDescent="0.2">
      <c r="I61" s="70">
        <v>4.0999999999999996</v>
      </c>
      <c r="J61" s="66" t="s">
        <v>128</v>
      </c>
      <c r="K61" s="66" t="s">
        <v>88</v>
      </c>
    </row>
    <row r="62" spans="9:11" x14ac:dyDescent="0.2">
      <c r="I62" s="70">
        <v>4.2</v>
      </c>
      <c r="J62" s="66" t="s">
        <v>71</v>
      </c>
      <c r="K62" s="66" t="s">
        <v>88</v>
      </c>
    </row>
    <row r="63" spans="9:11" x14ac:dyDescent="0.2">
      <c r="I63" s="70">
        <v>4.3</v>
      </c>
      <c r="J63" s="66" t="s">
        <v>129</v>
      </c>
      <c r="K63" s="66" t="s">
        <v>88</v>
      </c>
    </row>
    <row r="64" spans="9:11" x14ac:dyDescent="0.2">
      <c r="I64" s="70">
        <v>4.4000000000000004</v>
      </c>
      <c r="J64" s="66" t="s">
        <v>130</v>
      </c>
      <c r="K64" s="66" t="s">
        <v>88</v>
      </c>
    </row>
    <row r="65" spans="9:11" ht="28.5" x14ac:dyDescent="0.2">
      <c r="I65" s="70">
        <v>4.5</v>
      </c>
      <c r="J65" s="66" t="s">
        <v>131</v>
      </c>
      <c r="K65" s="66" t="s">
        <v>90</v>
      </c>
    </row>
    <row r="66" spans="9:11" x14ac:dyDescent="0.2">
      <c r="I66" s="70">
        <v>4.5999999999999996</v>
      </c>
      <c r="J66" s="66" t="s">
        <v>132</v>
      </c>
      <c r="K66" s="66" t="s">
        <v>90</v>
      </c>
    </row>
    <row r="67" spans="9:11" x14ac:dyDescent="0.2">
      <c r="I67" s="70">
        <v>4.7</v>
      </c>
      <c r="J67" s="66" t="s">
        <v>133</v>
      </c>
      <c r="K67" s="66" t="s">
        <v>90</v>
      </c>
    </row>
    <row r="68" spans="9:11" x14ac:dyDescent="0.2">
      <c r="I68" s="70">
        <v>4.8</v>
      </c>
      <c r="J68" s="66" t="s">
        <v>134</v>
      </c>
      <c r="K68" s="66" t="s">
        <v>90</v>
      </c>
    </row>
    <row r="69" spans="9:11" x14ac:dyDescent="0.2">
      <c r="I69" s="70">
        <v>4.9000000000000004</v>
      </c>
      <c r="J69" s="66" t="s">
        <v>135</v>
      </c>
      <c r="K69" s="66" t="s">
        <v>86</v>
      </c>
    </row>
    <row r="70" spans="9:11" ht="15" x14ac:dyDescent="0.2">
      <c r="I70" s="70" t="s">
        <v>136</v>
      </c>
      <c r="J70" s="67" t="s">
        <v>137</v>
      </c>
      <c r="K70" s="66"/>
    </row>
    <row r="72" spans="9:11" x14ac:dyDescent="0.2">
      <c r="I72" s="25" t="s">
        <v>138</v>
      </c>
    </row>
    <row r="76" spans="9:11" x14ac:dyDescent="0.2">
      <c r="I76" s="68" t="s">
        <v>139</v>
      </c>
    </row>
    <row r="78" spans="9:11" ht="15" x14ac:dyDescent="0.2">
      <c r="I78" s="69" t="s">
        <v>83</v>
      </c>
      <c r="J78" s="65" t="s">
        <v>8</v>
      </c>
      <c r="K78" s="65" t="s">
        <v>84</v>
      </c>
    </row>
    <row r="79" spans="9:11" x14ac:dyDescent="0.2">
      <c r="I79" s="70">
        <v>5.0999999999999996</v>
      </c>
      <c r="J79" s="66" t="s">
        <v>140</v>
      </c>
      <c r="K79" s="66" t="s">
        <v>88</v>
      </c>
    </row>
    <row r="80" spans="9:11" x14ac:dyDescent="0.2">
      <c r="I80" s="70">
        <v>5.2</v>
      </c>
      <c r="J80" s="66" t="s">
        <v>141</v>
      </c>
      <c r="K80" s="66" t="s">
        <v>88</v>
      </c>
    </row>
    <row r="81" spans="9:11" x14ac:dyDescent="0.2">
      <c r="I81" s="70">
        <v>5.3</v>
      </c>
      <c r="J81" s="66" t="s">
        <v>142</v>
      </c>
      <c r="K81" s="66" t="s">
        <v>88</v>
      </c>
    </row>
    <row r="82" spans="9:11" x14ac:dyDescent="0.2">
      <c r="I82" s="70">
        <v>5.4</v>
      </c>
      <c r="J82" s="66" t="s">
        <v>143</v>
      </c>
      <c r="K82" s="66" t="s">
        <v>88</v>
      </c>
    </row>
    <row r="83" spans="9:11" x14ac:dyDescent="0.2">
      <c r="I83" s="70">
        <v>5.5</v>
      </c>
      <c r="J83" s="66" t="s">
        <v>144</v>
      </c>
      <c r="K83" s="66" t="s">
        <v>86</v>
      </c>
    </row>
    <row r="84" spans="9:11" x14ac:dyDescent="0.2">
      <c r="I84" s="70">
        <v>5.6</v>
      </c>
      <c r="J84" s="66" t="s">
        <v>145</v>
      </c>
      <c r="K84" s="66" t="s">
        <v>110</v>
      </c>
    </row>
    <row r="85" spans="9:11" x14ac:dyDescent="0.2">
      <c r="I85" s="70">
        <v>5.7</v>
      </c>
      <c r="J85" s="66" t="s">
        <v>146</v>
      </c>
      <c r="K85" s="66" t="s">
        <v>86</v>
      </c>
    </row>
    <row r="86" spans="9:11" ht="15" x14ac:dyDescent="0.2">
      <c r="I86" s="70" t="s">
        <v>147</v>
      </c>
      <c r="J86" s="67" t="s">
        <v>148</v>
      </c>
      <c r="K86" s="66"/>
    </row>
    <row r="88" spans="9:11" x14ac:dyDescent="0.2">
      <c r="I88" s="25" t="s">
        <v>149</v>
      </c>
    </row>
    <row r="92" spans="9:11" x14ac:dyDescent="0.2">
      <c r="I92" s="68" t="s">
        <v>150</v>
      </c>
    </row>
    <row r="94" spans="9:11" ht="15" x14ac:dyDescent="0.2">
      <c r="I94" s="69" t="s">
        <v>83</v>
      </c>
      <c r="J94" s="65" t="s">
        <v>8</v>
      </c>
      <c r="K94" s="65" t="s">
        <v>84</v>
      </c>
    </row>
    <row r="95" spans="9:11" x14ac:dyDescent="0.2">
      <c r="I95" s="70">
        <v>6.1</v>
      </c>
      <c r="J95" s="66" t="s">
        <v>151</v>
      </c>
      <c r="K95" s="66" t="s">
        <v>152</v>
      </c>
    </row>
    <row r="96" spans="9:11" x14ac:dyDescent="0.2">
      <c r="I96" s="70">
        <v>6.2</v>
      </c>
      <c r="J96" s="66" t="s">
        <v>153</v>
      </c>
      <c r="K96" s="66" t="s">
        <v>152</v>
      </c>
    </row>
    <row r="97" spans="9:11" ht="15" x14ac:dyDescent="0.2">
      <c r="I97" s="70">
        <v>6.3</v>
      </c>
      <c r="J97" s="67" t="s">
        <v>154</v>
      </c>
      <c r="K97" s="66" t="s">
        <v>155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schemas.microsoft.com/office/2006/documentManagement/types"/>
    <ds:schemaRef ds:uri="http://purl.org/dc/terms/"/>
    <ds:schemaRef ds:uri="http://www.w3.org/XML/1998/namespace"/>
    <ds:schemaRef ds:uri="http://purl.org/dc/dcmitype/"/>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71af3243-3dd4-4a8d-8c0d-dd76da1f02a5"/>
    <ds:schemaRef ds:uri="http://schemas.microsoft.com/sharepoint/v3"/>
    <ds:schemaRef ds:uri="230e9df3-be65-4c73-a93b-d1236ebd677e"/>
    <ds:schemaRef ds:uri="16c05727-aa75-4e4a-9b5f-8a80a1165891"/>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Sheet1</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Florian Hastreiter</dc:creator>
  <dc:description/>
  <cp:lastModifiedBy>Florian Hastreiter</cp:lastModifiedBy>
  <cp:lastPrinted>2026-08-20T18:05:40Z</cp:lastPrinted>
  <dcterms:created xsi:type="dcterms:W3CDTF">2022-03-11T22:41:12Z</dcterms:created>
  <dcterms:modified xsi:type="dcterms:W3CDTF">2026-09-04T12:42:27Z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